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D:\Users\Desktop\Hoan_Thien\data\"/>
    </mc:Choice>
  </mc:AlternateContent>
  <xr:revisionPtr revIDLastSave="0" documentId="13_ncr:1_{29806A9B-D5A1-46E5-A15D-1472A06112EB}" xr6:coauthVersionLast="47" xr6:coauthVersionMax="47" xr10:uidLastSave="{00000000-0000-0000-0000-000000000000}"/>
  <bookViews>
    <workbookView xWindow="-48" yWindow="-48" windowWidth="23136" windowHeight="13056" activeTab="2" xr2:uid="{00000000-000D-0000-FFFF-FFFF00000000}"/>
  </bookViews>
  <sheets>
    <sheet name=" Home" sheetId="1" r:id="rId1"/>
    <sheet name="Nodes" sheetId="2" r:id="rId2"/>
    <sheet name="Cost" sheetId="3" r:id="rId3"/>
    <sheet name="Arcs" sheetId="4" r:id="rId4"/>
    <sheet name="Supply" sheetId="5" r:id="rId5"/>
    <sheet name="Demand" sheetId="6" r:id="rId6"/>
    <sheet name="Params" sheetId="7" r:id="rId7"/>
    <sheet name="Cách giả định Cap" sheetId="8" state="hidden" r:id="rId8"/>
  </sheets>
  <definedNames>
    <definedName name="_xlnm._FilterDatabase" localSheetId="3" hidden="1">Arcs!$A$1:$J$291</definedName>
    <definedName name="HELLO">_xludf.LAMBDA(_xlpm.name, _xldudf_BOARDFLARE_EXEC("hello", _xlpm.name))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B2" i="7"/>
  <c r="E4" i="2"/>
  <c r="E5" i="2"/>
  <c r="E6" i="2"/>
  <c r="E7" i="2"/>
  <c r="E8" i="2"/>
  <c r="E9" i="2"/>
  <c r="E10" i="2"/>
  <c r="E11" i="2"/>
  <c r="E12" i="2"/>
  <c r="E13" i="2"/>
  <c r="E2" i="2"/>
  <c r="E9" i="4" a="1"/>
  <c r="E9" i="4" s="1"/>
  <c r="G10" i="4"/>
  <c r="B17" i="3"/>
  <c r="B18" i="3"/>
  <c r="E5" i="4" a="1"/>
  <c r="E5" i="4" s="1"/>
  <c r="G18" i="4"/>
  <c r="B16" i="3"/>
  <c r="G27" i="4"/>
  <c r="G37" i="4"/>
  <c r="G40" i="4"/>
  <c r="G43" i="4"/>
  <c r="G46" i="4"/>
  <c r="G49" i="4"/>
  <c r="G51" i="4"/>
  <c r="G53" i="4"/>
  <c r="G56" i="4"/>
  <c r="G61" i="4"/>
  <c r="G63" i="4"/>
  <c r="G68" i="4"/>
  <c r="G71" i="4"/>
  <c r="G74" i="4"/>
  <c r="G77" i="4"/>
  <c r="G81" i="4"/>
  <c r="G84" i="4"/>
  <c r="G87" i="4"/>
  <c r="G89" i="4"/>
  <c r="G91" i="4"/>
  <c r="G93" i="4"/>
  <c r="G96" i="4"/>
  <c r="G99" i="4"/>
  <c r="G102" i="4"/>
  <c r="G105" i="4"/>
  <c r="G108" i="4"/>
  <c r="G110" i="4"/>
  <c r="G113" i="4"/>
  <c r="G119" i="4"/>
  <c r="G122" i="4"/>
  <c r="G125" i="4"/>
  <c r="G127" i="4"/>
  <c r="G131" i="4"/>
  <c r="G136" i="4"/>
  <c r="G141" i="4"/>
  <c r="G146" i="4"/>
  <c r="G149" i="4"/>
  <c r="G152" i="4"/>
  <c r="G154" i="4"/>
  <c r="G157" i="4"/>
  <c r="G161" i="4"/>
  <c r="G164" i="4"/>
  <c r="G166" i="4"/>
  <c r="G174" i="4"/>
  <c r="G177" i="4"/>
  <c r="G180" i="4"/>
  <c r="G183" i="4"/>
  <c r="G186" i="4"/>
  <c r="G189" i="4"/>
  <c r="G192" i="4"/>
  <c r="G194" i="4"/>
  <c r="G200" i="4"/>
  <c r="G203" i="4"/>
  <c r="G206" i="4"/>
  <c r="G209" i="4"/>
  <c r="G211" i="4"/>
  <c r="G214" i="4"/>
  <c r="G217" i="4"/>
  <c r="G220" i="4"/>
  <c r="G223" i="4"/>
  <c r="G225" i="4"/>
  <c r="G228" i="4"/>
  <c r="G231" i="4"/>
  <c r="G234" i="4"/>
  <c r="G237" i="4"/>
  <c r="G240" i="4"/>
  <c r="G243" i="4"/>
  <c r="G246" i="4"/>
  <c r="G249" i="4"/>
  <c r="G252" i="4"/>
  <c r="G255" i="4"/>
  <c r="G257" i="4"/>
  <c r="G260" i="4"/>
  <c r="G263" i="4"/>
  <c r="G265" i="4"/>
  <c r="G267" i="4"/>
  <c r="G269" i="4"/>
  <c r="G271" i="4"/>
  <c r="G274" i="4"/>
  <c r="G277" i="4"/>
  <c r="G280" i="4"/>
  <c r="G283" i="4"/>
  <c r="G286" i="4"/>
  <c r="G289" i="4"/>
  <c r="E2" i="4"/>
  <c r="E3" i="4" a="1"/>
  <c r="E3" i="4" s="1"/>
  <c r="E4" i="4" a="1"/>
  <c r="E4" i="4" s="1"/>
  <c r="E6" i="4" a="1"/>
  <c r="E6" i="4" s="1"/>
  <c r="E7" i="4" a="1"/>
  <c r="E7" i="4" s="1"/>
  <c r="E8" i="4" a="1"/>
  <c r="E8" i="4" s="1"/>
  <c r="E10" i="4" a="1"/>
  <c r="E10" i="4" s="1"/>
  <c r="E11" i="4" a="1"/>
  <c r="E11" i="4" s="1"/>
  <c r="E12" i="4" a="1"/>
  <c r="E12" i="4" s="1"/>
  <c r="E13" i="4" a="1"/>
  <c r="E13" i="4" s="1"/>
  <c r="E14" i="4" a="1"/>
  <c r="E14" i="4" s="1"/>
  <c r="E15" i="4" a="1"/>
  <c r="E15" i="4" s="1"/>
  <c r="E16" i="4" a="1"/>
  <c r="E16" i="4" s="1"/>
  <c r="E17" i="4" a="1"/>
  <c r="E17" i="4" s="1"/>
  <c r="E18" i="4" a="1"/>
  <c r="E18" i="4" s="1"/>
  <c r="E19" i="4" a="1"/>
  <c r="E19" i="4" s="1"/>
  <c r="E20" i="4" a="1"/>
  <c r="E20" i="4" s="1"/>
  <c r="E21" i="4" a="1"/>
  <c r="E21" i="4" s="1"/>
  <c r="E22" i="4" a="1"/>
  <c r="E22" i="4" s="1"/>
  <c r="E23" i="4" a="1"/>
  <c r="E23" i="4" s="1"/>
  <c r="E24" i="4" a="1"/>
  <c r="E24" i="4" s="1"/>
  <c r="E25" i="4" a="1"/>
  <c r="E25" i="4" s="1"/>
  <c r="E26" i="4" a="1"/>
  <c r="E26" i="4" s="1"/>
  <c r="E27" i="4" a="1"/>
  <c r="E27" i="4" s="1"/>
  <c r="E28" i="4" a="1"/>
  <c r="E28" i="4" s="1"/>
  <c r="E29" i="4" a="1"/>
  <c r="E29" i="4" s="1"/>
  <c r="E30" i="4" a="1"/>
  <c r="E30" i="4" s="1"/>
  <c r="E31" i="4" a="1"/>
  <c r="E31" i="4" s="1"/>
  <c r="E32" i="4" a="1"/>
  <c r="E32" i="4" s="1"/>
  <c r="E33" i="4" a="1"/>
  <c r="E33" i="4" s="1"/>
  <c r="E34" i="4" a="1"/>
  <c r="E34" i="4" s="1"/>
  <c r="E35" i="4" a="1"/>
  <c r="E35" i="4" s="1"/>
  <c r="E36" i="4" a="1"/>
  <c r="E36" i="4" s="1"/>
  <c r="E37" i="4" a="1"/>
  <c r="E37" i="4" s="1"/>
  <c r="E38" i="4" a="1"/>
  <c r="E38" i="4" s="1"/>
  <c r="E39" i="4" a="1"/>
  <c r="E39" i="4" s="1"/>
  <c r="E40" i="4" a="1"/>
  <c r="E40" i="4" s="1"/>
  <c r="E41" i="4" a="1"/>
  <c r="E41" i="4" s="1"/>
  <c r="E42" i="4" a="1"/>
  <c r="E42" i="4" s="1"/>
  <c r="E43" i="4" a="1"/>
  <c r="E43" i="4" s="1"/>
  <c r="E44" i="4" a="1"/>
  <c r="E44" i="4" s="1"/>
  <c r="E45" i="4" a="1"/>
  <c r="E45" i="4" s="1"/>
  <c r="E46" i="4" a="1"/>
  <c r="E46" i="4" s="1"/>
  <c r="E47" i="4" a="1"/>
  <c r="E47" i="4" s="1"/>
  <c r="E48" i="4" a="1"/>
  <c r="E48" i="4" s="1"/>
  <c r="E49" i="4" a="1"/>
  <c r="E49" i="4" s="1"/>
  <c r="E50" i="4" a="1"/>
  <c r="E50" i="4" s="1"/>
  <c r="E51" i="4" a="1"/>
  <c r="E51" i="4" s="1"/>
  <c r="E52" i="4" a="1"/>
  <c r="E52" i="4" s="1"/>
  <c r="E53" i="4" a="1"/>
  <c r="E53" i="4" s="1"/>
  <c r="E54" i="4" a="1"/>
  <c r="E54" i="4" s="1"/>
  <c r="E55" i="4" a="1"/>
  <c r="E55" i="4" s="1"/>
  <c r="E56" i="4" a="1"/>
  <c r="E56" i="4" s="1"/>
  <c r="E57" i="4" a="1"/>
  <c r="E57" i="4" s="1"/>
  <c r="E58" i="4" a="1"/>
  <c r="E58" i="4" s="1"/>
  <c r="E59" i="4" a="1"/>
  <c r="E59" i="4" s="1"/>
  <c r="E60" i="4" a="1"/>
  <c r="E60" i="4" s="1"/>
  <c r="E61" i="4" a="1"/>
  <c r="E61" i="4" s="1"/>
  <c r="E62" i="4" a="1"/>
  <c r="E62" i="4" s="1"/>
  <c r="E63" i="4" a="1"/>
  <c r="E63" i="4" s="1"/>
  <c r="E64" i="4" a="1"/>
  <c r="E64" i="4" s="1"/>
  <c r="E65" i="4" a="1"/>
  <c r="E65" i="4" s="1"/>
  <c r="E66" i="4" a="1"/>
  <c r="E66" i="4" s="1"/>
  <c r="E67" i="4" a="1"/>
  <c r="E67" i="4" s="1"/>
  <c r="E68" i="4" a="1"/>
  <c r="E68" i="4" s="1"/>
  <c r="E69" i="4" a="1"/>
  <c r="E69" i="4" s="1"/>
  <c r="E70" i="4" a="1"/>
  <c r="E70" i="4" s="1"/>
  <c r="E71" i="4" a="1"/>
  <c r="E71" i="4" s="1"/>
  <c r="E72" i="4" a="1"/>
  <c r="E72" i="4" s="1"/>
  <c r="E73" i="4" a="1"/>
  <c r="E73" i="4" s="1"/>
  <c r="E74" i="4" a="1"/>
  <c r="E74" i="4" s="1"/>
  <c r="E75" i="4" a="1"/>
  <c r="E75" i="4" s="1"/>
  <c r="E76" i="4" a="1"/>
  <c r="E76" i="4" s="1"/>
  <c r="E77" i="4" a="1"/>
  <c r="E77" i="4" s="1"/>
  <c r="E78" i="4" a="1"/>
  <c r="E78" i="4" s="1"/>
  <c r="E79" i="4" a="1"/>
  <c r="E79" i="4" s="1"/>
  <c r="E80" i="4" a="1"/>
  <c r="E80" i="4" s="1"/>
  <c r="E81" i="4" a="1"/>
  <c r="E81" i="4" s="1"/>
  <c r="E82" i="4" a="1"/>
  <c r="E82" i="4" s="1"/>
  <c r="E83" i="4" a="1"/>
  <c r="E83" i="4" s="1"/>
  <c r="E84" i="4" a="1"/>
  <c r="E84" i="4" s="1"/>
  <c r="E85" i="4" a="1"/>
  <c r="E85" i="4" s="1"/>
  <c r="E86" i="4" a="1"/>
  <c r="E86" i="4" s="1"/>
  <c r="E87" i="4" a="1"/>
  <c r="E87" i="4" s="1"/>
  <c r="E88" i="4" a="1"/>
  <c r="E88" i="4" s="1"/>
  <c r="E89" i="4" a="1"/>
  <c r="E89" i="4" s="1"/>
  <c r="E90" i="4" a="1"/>
  <c r="E90" i="4" s="1"/>
  <c r="E91" i="4" a="1"/>
  <c r="E91" i="4" s="1"/>
  <c r="E92" i="4" a="1"/>
  <c r="E92" i="4" s="1"/>
  <c r="E93" i="4" a="1"/>
  <c r="E93" i="4" s="1"/>
  <c r="E94" i="4" a="1"/>
  <c r="E94" i="4" s="1"/>
  <c r="E95" i="4" a="1"/>
  <c r="E95" i="4" s="1"/>
  <c r="E96" i="4" a="1"/>
  <c r="E96" i="4" s="1"/>
  <c r="E97" i="4" a="1"/>
  <c r="E97" i="4" s="1"/>
  <c r="E98" i="4" a="1"/>
  <c r="E98" i="4" s="1"/>
  <c r="E99" i="4" a="1"/>
  <c r="E99" i="4" s="1"/>
  <c r="E100" i="4" a="1"/>
  <c r="E100" i="4" s="1"/>
  <c r="E101" i="4" a="1"/>
  <c r="E101" i="4" s="1"/>
  <c r="E102" i="4" a="1"/>
  <c r="E102" i="4" s="1"/>
  <c r="E103" i="4" a="1"/>
  <c r="E103" i="4" s="1"/>
  <c r="E104" i="4" a="1"/>
  <c r="E104" i="4" s="1"/>
  <c r="E105" i="4" a="1"/>
  <c r="E105" i="4" s="1"/>
  <c r="E106" i="4" a="1"/>
  <c r="E106" i="4" s="1"/>
  <c r="E107" i="4" a="1"/>
  <c r="E107" i="4" s="1"/>
  <c r="E108" i="4" a="1"/>
  <c r="E108" i="4" s="1"/>
  <c r="E109" i="4" a="1"/>
  <c r="E109" i="4" s="1"/>
  <c r="E110" i="4" a="1"/>
  <c r="E110" i="4" s="1"/>
  <c r="E111" i="4" a="1"/>
  <c r="E111" i="4" s="1"/>
  <c r="E112" i="4" a="1"/>
  <c r="E112" i="4" s="1"/>
  <c r="E113" i="4" a="1"/>
  <c r="E113" i="4" s="1"/>
  <c r="E114" i="4" a="1"/>
  <c r="E114" i="4" s="1"/>
  <c r="E115" i="4" a="1"/>
  <c r="E115" i="4" s="1"/>
  <c r="E116" i="4" a="1"/>
  <c r="E116" i="4" s="1"/>
  <c r="E117" i="4" a="1"/>
  <c r="E117" i="4" s="1"/>
  <c r="E118" i="4" a="1"/>
  <c r="E118" i="4" s="1"/>
  <c r="E119" i="4" a="1"/>
  <c r="E119" i="4" s="1"/>
  <c r="E120" i="4" a="1"/>
  <c r="E120" i="4" s="1"/>
  <c r="E121" i="4" a="1"/>
  <c r="E121" i="4" s="1"/>
  <c r="E122" i="4" a="1"/>
  <c r="E122" i="4" s="1"/>
  <c r="E123" i="4" a="1"/>
  <c r="E123" i="4" s="1"/>
  <c r="E124" i="4" a="1"/>
  <c r="E124" i="4" s="1"/>
  <c r="E125" i="4" a="1"/>
  <c r="E125" i="4" s="1"/>
  <c r="E126" i="4" a="1"/>
  <c r="E126" i="4" s="1"/>
  <c r="E127" i="4" a="1"/>
  <c r="E127" i="4" s="1"/>
  <c r="E128" i="4" a="1"/>
  <c r="E128" i="4" s="1"/>
  <c r="E129" i="4" a="1"/>
  <c r="E129" i="4" s="1"/>
  <c r="E130" i="4" a="1"/>
  <c r="E130" i="4" s="1"/>
  <c r="E131" i="4" a="1"/>
  <c r="E131" i="4" s="1"/>
  <c r="E132" i="4" a="1"/>
  <c r="E132" i="4" s="1"/>
  <c r="E133" i="4" a="1"/>
  <c r="E133" i="4" s="1"/>
  <c r="E134" i="4" a="1"/>
  <c r="E134" i="4" s="1"/>
  <c r="E135" i="4" a="1"/>
  <c r="E135" i="4" s="1"/>
  <c r="E136" i="4" a="1"/>
  <c r="E136" i="4" s="1"/>
  <c r="E137" i="4" a="1"/>
  <c r="E137" i="4" s="1"/>
  <c r="E138" i="4" a="1"/>
  <c r="E138" i="4" s="1"/>
  <c r="E139" i="4" a="1"/>
  <c r="E139" i="4" s="1"/>
  <c r="E140" i="4" a="1"/>
  <c r="E140" i="4" s="1"/>
  <c r="E141" i="4" a="1"/>
  <c r="E141" i="4" s="1"/>
  <c r="E142" i="4" a="1"/>
  <c r="E142" i="4" s="1"/>
  <c r="E143" i="4" a="1"/>
  <c r="E143" i="4" s="1"/>
  <c r="E144" i="4" a="1"/>
  <c r="E144" i="4" s="1"/>
  <c r="E145" i="4" a="1"/>
  <c r="E145" i="4" s="1"/>
  <c r="E146" i="4" a="1"/>
  <c r="E146" i="4" s="1"/>
  <c r="E147" i="4" a="1"/>
  <c r="E147" i="4" s="1"/>
  <c r="E148" i="4" a="1"/>
  <c r="E148" i="4" s="1"/>
  <c r="E149" i="4" a="1"/>
  <c r="E149" i="4" s="1"/>
  <c r="E150" i="4" a="1"/>
  <c r="E150" i="4" s="1"/>
  <c r="E151" i="4" a="1"/>
  <c r="E151" i="4" s="1"/>
  <c r="E152" i="4" a="1"/>
  <c r="E152" i="4" s="1"/>
  <c r="E153" i="4" a="1"/>
  <c r="E153" i="4" s="1"/>
  <c r="E154" i="4" a="1"/>
  <c r="E154" i="4" s="1"/>
  <c r="E155" i="4" a="1"/>
  <c r="E155" i="4" s="1"/>
  <c r="E156" i="4" a="1"/>
  <c r="E156" i="4" s="1"/>
  <c r="E157" i="4" a="1"/>
  <c r="E157" i="4" s="1"/>
  <c r="E158" i="4" a="1"/>
  <c r="E158" i="4" s="1"/>
  <c r="E159" i="4" a="1"/>
  <c r="E159" i="4" s="1"/>
  <c r="E160" i="4" a="1"/>
  <c r="E160" i="4" s="1"/>
  <c r="E161" i="4" a="1"/>
  <c r="E161" i="4" s="1"/>
  <c r="E162" i="4" a="1"/>
  <c r="E162" i="4" s="1"/>
  <c r="E163" i="4" a="1"/>
  <c r="E163" i="4" s="1"/>
  <c r="E164" i="4" a="1"/>
  <c r="E164" i="4" s="1"/>
  <c r="E165" i="4" a="1"/>
  <c r="E165" i="4" s="1"/>
  <c r="E166" i="4" a="1"/>
  <c r="E166" i="4" s="1"/>
  <c r="E167" i="4" a="1"/>
  <c r="E167" i="4" s="1"/>
  <c r="E168" i="4" a="1"/>
  <c r="E168" i="4" s="1"/>
  <c r="E169" i="4" a="1"/>
  <c r="E169" i="4" s="1"/>
  <c r="E170" i="4" a="1"/>
  <c r="E170" i="4" s="1"/>
  <c r="E171" i="4" a="1"/>
  <c r="E171" i="4" s="1"/>
  <c r="E172" i="4" a="1"/>
  <c r="E172" i="4" s="1"/>
  <c r="E173" i="4" a="1"/>
  <c r="E173" i="4" s="1"/>
  <c r="E174" i="4" a="1"/>
  <c r="E174" i="4" s="1"/>
  <c r="E175" i="4" a="1"/>
  <c r="E175" i="4" s="1"/>
  <c r="E176" i="4" a="1"/>
  <c r="E176" i="4" s="1"/>
  <c r="E177" i="4" a="1"/>
  <c r="E177" i="4" s="1"/>
  <c r="E178" i="4" a="1"/>
  <c r="E178" i="4" s="1"/>
  <c r="E179" i="4" a="1"/>
  <c r="E179" i="4" s="1"/>
  <c r="E180" i="4" a="1"/>
  <c r="E180" i="4" s="1"/>
  <c r="E181" i="4" a="1"/>
  <c r="E181" i="4" s="1"/>
  <c r="E182" i="4" a="1"/>
  <c r="E182" i="4" s="1"/>
  <c r="E183" i="4" a="1"/>
  <c r="E183" i="4" s="1"/>
  <c r="E184" i="4" a="1"/>
  <c r="E184" i="4" s="1"/>
  <c r="E185" i="4" a="1"/>
  <c r="E185" i="4" s="1"/>
  <c r="E186" i="4" a="1"/>
  <c r="E186" i="4" s="1"/>
  <c r="E187" i="4" a="1"/>
  <c r="E187" i="4" s="1"/>
  <c r="E188" i="4" a="1"/>
  <c r="E188" i="4" s="1"/>
  <c r="E189" i="4" a="1"/>
  <c r="E189" i="4" s="1"/>
  <c r="E190" i="4" a="1"/>
  <c r="E190" i="4" s="1"/>
  <c r="E191" i="4" a="1"/>
  <c r="E191" i="4" s="1"/>
  <c r="E192" i="4" a="1"/>
  <c r="E192" i="4" s="1"/>
  <c r="E193" i="4" a="1"/>
  <c r="E193" i="4" s="1"/>
  <c r="E194" i="4" a="1"/>
  <c r="E194" i="4" s="1"/>
  <c r="E195" i="4" a="1"/>
  <c r="E195" i="4" s="1"/>
  <c r="E196" i="4" a="1"/>
  <c r="E196" i="4" s="1"/>
  <c r="E197" i="4" a="1"/>
  <c r="E197" i="4" s="1"/>
  <c r="E198" i="4" a="1"/>
  <c r="E198" i="4" s="1"/>
  <c r="E199" i="4" a="1"/>
  <c r="E199" i="4" s="1"/>
  <c r="E200" i="4" a="1"/>
  <c r="E200" i="4" s="1"/>
  <c r="E201" i="4" a="1"/>
  <c r="E201" i="4" s="1"/>
  <c r="E202" i="4" a="1"/>
  <c r="E202" i="4" s="1"/>
  <c r="E203" i="4" a="1"/>
  <c r="E203" i="4" s="1"/>
  <c r="E204" i="4" a="1"/>
  <c r="E204" i="4" s="1"/>
  <c r="E205" i="4" a="1"/>
  <c r="E205" i="4" s="1"/>
  <c r="E206" i="4" a="1"/>
  <c r="E206" i="4" s="1"/>
  <c r="E207" i="4" a="1"/>
  <c r="E207" i="4" s="1"/>
  <c r="E208" i="4" a="1"/>
  <c r="E208" i="4" s="1"/>
  <c r="E209" i="4" a="1"/>
  <c r="E209" i="4" s="1"/>
  <c r="E210" i="4" a="1"/>
  <c r="E210" i="4" s="1"/>
  <c r="E211" i="4" a="1"/>
  <c r="E211" i="4" s="1"/>
  <c r="E212" i="4" a="1"/>
  <c r="E212" i="4" s="1"/>
  <c r="E213" i="4" a="1"/>
  <c r="E213" i="4" s="1"/>
  <c r="E214" i="4" a="1"/>
  <c r="E214" i="4" s="1"/>
  <c r="E215" i="4" a="1"/>
  <c r="E215" i="4" s="1"/>
  <c r="E216" i="4" a="1"/>
  <c r="E216" i="4" s="1"/>
  <c r="E217" i="4" a="1"/>
  <c r="E217" i="4" s="1"/>
  <c r="E218" i="4" a="1"/>
  <c r="E218" i="4" s="1"/>
  <c r="E219" i="4" a="1"/>
  <c r="E219" i="4" s="1"/>
  <c r="E220" i="4" a="1"/>
  <c r="E220" i="4" s="1"/>
  <c r="E221" i="4" a="1"/>
  <c r="E221" i="4" s="1"/>
  <c r="E222" i="4" a="1"/>
  <c r="E222" i="4" s="1"/>
  <c r="E223" i="4" a="1"/>
  <c r="E223" i="4" s="1"/>
  <c r="E224" i="4" a="1"/>
  <c r="E224" i="4" s="1"/>
  <c r="E225" i="4" a="1"/>
  <c r="E225" i="4" s="1"/>
  <c r="E226" i="4" a="1"/>
  <c r="E226" i="4" s="1"/>
  <c r="E227" i="4" a="1"/>
  <c r="E227" i="4" s="1"/>
  <c r="E228" i="4" a="1"/>
  <c r="E228" i="4" s="1"/>
  <c r="E229" i="4" a="1"/>
  <c r="E229" i="4" s="1"/>
  <c r="E230" i="4" a="1"/>
  <c r="E230" i="4" s="1"/>
  <c r="E231" i="4" a="1"/>
  <c r="E231" i="4" s="1"/>
  <c r="E232" i="4" a="1"/>
  <c r="E232" i="4" s="1"/>
  <c r="E233" i="4" a="1"/>
  <c r="E233" i="4" s="1"/>
  <c r="E234" i="4" a="1"/>
  <c r="E234" i="4" s="1"/>
  <c r="E235" i="4" a="1"/>
  <c r="E235" i="4" s="1"/>
  <c r="E236" i="4" a="1"/>
  <c r="E236" i="4" s="1"/>
  <c r="E237" i="4" a="1"/>
  <c r="E237" i="4" s="1"/>
  <c r="E238" i="4" a="1"/>
  <c r="E238" i="4" s="1"/>
  <c r="E239" i="4" a="1"/>
  <c r="E239" i="4" s="1"/>
  <c r="E240" i="4" a="1"/>
  <c r="E240" i="4" s="1"/>
  <c r="E241" i="4" a="1"/>
  <c r="E241" i="4" s="1"/>
  <c r="E242" i="4" a="1"/>
  <c r="E242" i="4" s="1"/>
  <c r="E243" i="4" a="1"/>
  <c r="E243" i="4" s="1"/>
  <c r="E244" i="4" a="1"/>
  <c r="E244" i="4" s="1"/>
  <c r="E245" i="4" a="1"/>
  <c r="E245" i="4" s="1"/>
  <c r="E246" i="4" a="1"/>
  <c r="E246" i="4" s="1"/>
  <c r="E247" i="4" a="1"/>
  <c r="E247" i="4" s="1"/>
  <c r="E248" i="4" a="1"/>
  <c r="E248" i="4" s="1"/>
  <c r="E249" i="4" a="1"/>
  <c r="E249" i="4" s="1"/>
  <c r="E250" i="4" a="1"/>
  <c r="E250" i="4" s="1"/>
  <c r="E251" i="4" a="1"/>
  <c r="E251" i="4" s="1"/>
  <c r="E252" i="4" a="1"/>
  <c r="E252" i="4" s="1"/>
  <c r="E253" i="4" a="1"/>
  <c r="E253" i="4" s="1"/>
  <c r="E254" i="4" a="1"/>
  <c r="E254" i="4" s="1"/>
  <c r="E255" i="4" a="1"/>
  <c r="E255" i="4" s="1"/>
  <c r="E256" i="4" a="1"/>
  <c r="E256" i="4" s="1"/>
  <c r="E257" i="4" a="1"/>
  <c r="E257" i="4" s="1"/>
  <c r="E258" i="4" a="1"/>
  <c r="E258" i="4" s="1"/>
  <c r="E259" i="4" a="1"/>
  <c r="E259" i="4" s="1"/>
  <c r="E260" i="4" a="1"/>
  <c r="E260" i="4" s="1"/>
  <c r="E261" i="4" a="1"/>
  <c r="E261" i="4" s="1"/>
  <c r="E262" i="4" a="1"/>
  <c r="E262" i="4" s="1"/>
  <c r="E263" i="4" a="1"/>
  <c r="E263" i="4" s="1"/>
  <c r="E264" i="4" a="1"/>
  <c r="E264" i="4" s="1"/>
  <c r="E265" i="4" a="1"/>
  <c r="E265" i="4" s="1"/>
  <c r="E266" i="4" a="1"/>
  <c r="E266" i="4" s="1"/>
  <c r="E267" i="4" a="1"/>
  <c r="E267" i="4" s="1"/>
  <c r="E268" i="4" a="1"/>
  <c r="E268" i="4" s="1"/>
  <c r="E269" i="4" a="1"/>
  <c r="E269" i="4" s="1"/>
  <c r="E270" i="4" a="1"/>
  <c r="E270" i="4" s="1"/>
  <c r="E271" i="4" a="1"/>
  <c r="E271" i="4" s="1"/>
  <c r="E272" i="4" a="1"/>
  <c r="E272" i="4" s="1"/>
  <c r="E273" i="4" a="1"/>
  <c r="E273" i="4" s="1"/>
  <c r="E274" i="4" a="1"/>
  <c r="E274" i="4" s="1"/>
  <c r="E275" i="4" a="1"/>
  <c r="E275" i="4" s="1"/>
  <c r="E276" i="4" a="1"/>
  <c r="E276" i="4" s="1"/>
  <c r="E277" i="4" a="1"/>
  <c r="E277" i="4" s="1"/>
  <c r="E278" i="4" a="1"/>
  <c r="E278" i="4" s="1"/>
  <c r="E279" i="4" a="1"/>
  <c r="E279" i="4" s="1"/>
  <c r="E280" i="4" a="1"/>
  <c r="E280" i="4" s="1"/>
  <c r="E281" i="4" a="1"/>
  <c r="E281" i="4" s="1"/>
  <c r="E282" i="4" a="1"/>
  <c r="E282" i="4" s="1"/>
  <c r="E283" i="4" a="1"/>
  <c r="E283" i="4" s="1"/>
  <c r="E284" i="4" a="1"/>
  <c r="E284" i="4" s="1"/>
  <c r="E285" i="4" a="1"/>
  <c r="E285" i="4" s="1"/>
  <c r="E286" i="4" a="1"/>
  <c r="E286" i="4" s="1"/>
  <c r="E287" i="4" a="1"/>
  <c r="E287" i="4" s="1"/>
  <c r="E288" i="4" a="1"/>
  <c r="E288" i="4" s="1"/>
  <c r="E289" i="4" a="1"/>
  <c r="E289" i="4" s="1"/>
  <c r="E290" i="4" a="1"/>
  <c r="E290" i="4" s="1"/>
  <c r="E291" i="4" a="1"/>
  <c r="E291" i="4" s="1"/>
  <c r="G279" i="4" l="1"/>
  <c r="G247" i="4"/>
  <c r="G224" i="4"/>
  <c r="G190" i="4"/>
  <c r="G145" i="4"/>
  <c r="G135" i="4"/>
  <c r="G103" i="4"/>
  <c r="G80" i="4"/>
  <c r="G70" i="4"/>
  <c r="G48" i="4"/>
  <c r="G278" i="4"/>
  <c r="G256" i="4"/>
  <c r="G233" i="4"/>
  <c r="G144" i="4"/>
  <c r="G112" i="4"/>
  <c r="G69" i="4"/>
  <c r="G57" i="4"/>
  <c r="G47" i="4"/>
  <c r="G23" i="4"/>
  <c r="G288" i="4"/>
  <c r="G232" i="4"/>
  <c r="G222" i="4"/>
  <c r="G198" i="4"/>
  <c r="G176" i="4"/>
  <c r="G165" i="4"/>
  <c r="G153" i="4"/>
  <c r="G121" i="4"/>
  <c r="G111" i="4"/>
  <c r="G78" i="4"/>
  <c r="G33" i="4"/>
  <c r="G287" i="4"/>
  <c r="G264" i="4"/>
  <c r="G254" i="4"/>
  <c r="G241" i="4"/>
  <c r="G221" i="4"/>
  <c r="G208" i="4"/>
  <c r="G185" i="4"/>
  <c r="G175" i="4"/>
  <c r="G142" i="4"/>
  <c r="G120" i="4"/>
  <c r="G97" i="4"/>
  <c r="G55" i="4"/>
  <c r="G273" i="4"/>
  <c r="G253" i="4"/>
  <c r="G230" i="4"/>
  <c r="G207" i="4"/>
  <c r="G184" i="4"/>
  <c r="G151" i="4"/>
  <c r="G129" i="4"/>
  <c r="G109" i="4"/>
  <c r="G86" i="4"/>
  <c r="G64" i="4"/>
  <c r="G54" i="4"/>
  <c r="G41" i="4"/>
  <c r="G31" i="4"/>
  <c r="G272" i="4"/>
  <c r="G262" i="4"/>
  <c r="G239" i="4"/>
  <c r="G229" i="4"/>
  <c r="G193" i="4"/>
  <c r="G150" i="4"/>
  <c r="G128" i="4"/>
  <c r="G118" i="4"/>
  <c r="G95" i="4"/>
  <c r="G85" i="4"/>
  <c r="G73" i="4"/>
  <c r="G16" i="4"/>
  <c r="G281" i="4"/>
  <c r="G261" i="4"/>
  <c r="G238" i="4"/>
  <c r="G216" i="4"/>
  <c r="G182" i="4"/>
  <c r="G169" i="4"/>
  <c r="G159" i="4"/>
  <c r="G137" i="4"/>
  <c r="G72" i="4"/>
  <c r="G62" i="4"/>
  <c r="G39" i="4"/>
  <c r="G15" i="4"/>
  <c r="G270" i="4"/>
  <c r="G248" i="4"/>
  <c r="G215" i="4"/>
  <c r="G201" i="4"/>
  <c r="G191" i="4"/>
  <c r="G181" i="4"/>
  <c r="G158" i="4"/>
  <c r="G104" i="4"/>
  <c r="G38" i="4"/>
  <c r="G25" i="4"/>
  <c r="G213" i="4"/>
  <c r="G276" i="4"/>
  <c r="G244" i="4"/>
  <c r="G196" i="4"/>
  <c r="G140" i="4"/>
  <c r="G124" i="4"/>
  <c r="G100" i="4"/>
  <c r="G76" i="4"/>
  <c r="G52" i="4"/>
  <c r="G36" i="4"/>
  <c r="G12" i="4"/>
  <c r="G291" i="4"/>
  <c r="G275" i="4"/>
  <c r="G259" i="4"/>
  <c r="G251" i="4"/>
  <c r="G235" i="4"/>
  <c r="G227" i="4"/>
  <c r="G219" i="4"/>
  <c r="G195" i="4"/>
  <c r="G187" i="4"/>
  <c r="G163" i="4"/>
  <c r="G155" i="4"/>
  <c r="G147" i="4"/>
  <c r="G139" i="4"/>
  <c r="G115" i="4"/>
  <c r="G107" i="4"/>
  <c r="G83" i="4"/>
  <c r="G75" i="4"/>
  <c r="G67" i="4"/>
  <c r="G19" i="4"/>
  <c r="G285" i="4"/>
  <c r="G245" i="4"/>
  <c r="G205" i="4"/>
  <c r="G173" i="4"/>
  <c r="G133" i="4"/>
  <c r="G45" i="4"/>
  <c r="G29" i="4"/>
  <c r="G21" i="4"/>
  <c r="G284" i="4"/>
  <c r="G268" i="4"/>
  <c r="G236" i="4"/>
  <c r="G212" i="4"/>
  <c r="G204" i="4"/>
  <c r="G188" i="4"/>
  <c r="G172" i="4"/>
  <c r="G156" i="4"/>
  <c r="G148" i="4"/>
  <c r="G132" i="4"/>
  <c r="G92" i="4"/>
  <c r="G60" i="4"/>
  <c r="G44" i="4"/>
  <c r="G28" i="4"/>
  <c r="G290" i="4"/>
  <c r="G282" i="4"/>
  <c r="G266" i="4"/>
  <c r="G258" i="4"/>
  <c r="G250" i="4"/>
  <c r="G242" i="4"/>
  <c r="G226" i="4"/>
  <c r="G218" i="4"/>
  <c r="G210" i="4"/>
  <c r="G202" i="4"/>
  <c r="G178" i="4"/>
  <c r="G170" i="4"/>
  <c r="G162" i="4"/>
  <c r="G114" i="4"/>
  <c r="G106" i="4"/>
  <c r="G98" i="4"/>
  <c r="G90" i="4"/>
  <c r="G82" i="4"/>
  <c r="G58" i="4"/>
  <c r="G50" i="4"/>
  <c r="G42" i="4"/>
  <c r="G34" i="4"/>
  <c r="G26" i="4"/>
  <c r="F3" i="4" a="1"/>
  <c r="F3" i="4" s="1"/>
  <c r="F4" i="4" a="1"/>
  <c r="F4" i="4" s="1"/>
  <c r="F5" i="4" a="1"/>
  <c r="F5" i="4" s="1"/>
  <c r="F6" i="4" a="1"/>
  <c r="F6" i="4" s="1"/>
  <c r="F7" i="4" a="1"/>
  <c r="F7" i="4" s="1"/>
  <c r="F8" i="4" a="1"/>
  <c r="F8" i="4" s="1"/>
  <c r="F9" i="4" a="1"/>
  <c r="F9" i="4" s="1"/>
  <c r="F10" i="4" a="1"/>
  <c r="F10" i="4" s="1"/>
  <c r="F11" i="4" a="1"/>
  <c r="F11" i="4" s="1"/>
  <c r="F12" i="4" a="1"/>
  <c r="F12" i="4" s="1"/>
  <c r="F13" i="4" a="1"/>
  <c r="F13" i="4" s="1"/>
  <c r="F14" i="4" a="1"/>
  <c r="F14" i="4" s="1"/>
  <c r="F15" i="4" a="1"/>
  <c r="F15" i="4" s="1"/>
  <c r="F16" i="4" a="1"/>
  <c r="F16" i="4" s="1"/>
  <c r="F17" i="4" a="1"/>
  <c r="F17" i="4" s="1"/>
  <c r="F18" i="4" a="1"/>
  <c r="F18" i="4" s="1"/>
  <c r="F19" i="4" a="1"/>
  <c r="F19" i="4" s="1"/>
  <c r="F20" i="4" a="1"/>
  <c r="F20" i="4" s="1"/>
  <c r="F21" i="4" a="1"/>
  <c r="F21" i="4" s="1"/>
  <c r="F22" i="4" a="1"/>
  <c r="F22" i="4" s="1"/>
  <c r="F23" i="4" a="1"/>
  <c r="F23" i="4" s="1"/>
  <c r="F24" i="4" a="1"/>
  <c r="F24" i="4" s="1"/>
  <c r="F25" i="4" a="1"/>
  <c r="F25" i="4" s="1"/>
  <c r="F26" i="4" a="1"/>
  <c r="F26" i="4" s="1"/>
  <c r="F27" i="4" a="1"/>
  <c r="F27" i="4" s="1"/>
  <c r="F28" i="4" a="1"/>
  <c r="F28" i="4" s="1"/>
  <c r="F29" i="4" a="1"/>
  <c r="F29" i="4" s="1"/>
  <c r="F30" i="4" a="1"/>
  <c r="F30" i="4" s="1"/>
  <c r="F31" i="4" a="1"/>
  <c r="F31" i="4" s="1"/>
  <c r="F32" i="4" a="1"/>
  <c r="F32" i="4" s="1"/>
  <c r="F33" i="4" a="1"/>
  <c r="F33" i="4" s="1"/>
  <c r="F34" i="4" a="1"/>
  <c r="F34" i="4" s="1"/>
  <c r="F35" i="4" a="1"/>
  <c r="F35" i="4" s="1"/>
  <c r="F36" i="4" a="1"/>
  <c r="F36" i="4" s="1"/>
  <c r="F37" i="4" a="1"/>
  <c r="F37" i="4" s="1"/>
  <c r="F38" i="4" a="1"/>
  <c r="F38" i="4" s="1"/>
  <c r="F39" i="4" a="1"/>
  <c r="F39" i="4" s="1"/>
  <c r="F40" i="4" a="1"/>
  <c r="F40" i="4" s="1"/>
  <c r="F41" i="4" a="1"/>
  <c r="F41" i="4" s="1"/>
  <c r="F42" i="4" a="1"/>
  <c r="F42" i="4" s="1"/>
  <c r="F43" i="4" a="1"/>
  <c r="F43" i="4" s="1"/>
  <c r="F44" i="4" a="1"/>
  <c r="F44" i="4" s="1"/>
  <c r="F45" i="4" a="1"/>
  <c r="F45" i="4" s="1"/>
  <c r="F46" i="4" a="1"/>
  <c r="F46" i="4" s="1"/>
  <c r="F47" i="4" a="1"/>
  <c r="F47" i="4" s="1"/>
  <c r="F48" i="4" a="1"/>
  <c r="F48" i="4" s="1"/>
  <c r="F49" i="4" a="1"/>
  <c r="F49" i="4" s="1"/>
  <c r="F50" i="4" a="1"/>
  <c r="F50" i="4" s="1"/>
  <c r="F51" i="4" a="1"/>
  <c r="F51" i="4" s="1"/>
  <c r="F52" i="4" a="1"/>
  <c r="F52" i="4" s="1"/>
  <c r="F53" i="4" a="1"/>
  <c r="F53" i="4" s="1"/>
  <c r="F54" i="4" a="1"/>
  <c r="F54" i="4" s="1"/>
  <c r="F55" i="4" a="1"/>
  <c r="F55" i="4" s="1"/>
  <c r="F56" i="4" a="1"/>
  <c r="F56" i="4" s="1"/>
  <c r="F57" i="4" a="1"/>
  <c r="F57" i="4" s="1"/>
  <c r="F58" i="4" a="1"/>
  <c r="F58" i="4" s="1"/>
  <c r="F59" i="4" a="1"/>
  <c r="F59" i="4" s="1"/>
  <c r="F60" i="4" a="1"/>
  <c r="F60" i="4" s="1"/>
  <c r="F61" i="4" a="1"/>
  <c r="F61" i="4" s="1"/>
  <c r="F62" i="4" a="1"/>
  <c r="F62" i="4" s="1"/>
  <c r="F63" i="4" a="1"/>
  <c r="F63" i="4" s="1"/>
  <c r="F64" i="4" a="1"/>
  <c r="F64" i="4" s="1"/>
  <c r="F65" i="4" a="1"/>
  <c r="F65" i="4" s="1"/>
  <c r="F66" i="4" a="1"/>
  <c r="F66" i="4" s="1"/>
  <c r="F67" i="4" a="1"/>
  <c r="F67" i="4" s="1"/>
  <c r="F68" i="4" a="1"/>
  <c r="F68" i="4" s="1"/>
  <c r="F69" i="4" a="1"/>
  <c r="F69" i="4" s="1"/>
  <c r="F70" i="4" a="1"/>
  <c r="F70" i="4" s="1"/>
  <c r="F71" i="4" a="1"/>
  <c r="F71" i="4" s="1"/>
  <c r="F72" i="4" a="1"/>
  <c r="F72" i="4" s="1"/>
  <c r="F73" i="4" a="1"/>
  <c r="F73" i="4" s="1"/>
  <c r="F74" i="4" a="1"/>
  <c r="F74" i="4" s="1"/>
  <c r="F75" i="4" a="1"/>
  <c r="F75" i="4" s="1"/>
  <c r="F76" i="4" a="1"/>
  <c r="F76" i="4" s="1"/>
  <c r="F77" i="4" a="1"/>
  <c r="F77" i="4" s="1"/>
  <c r="F78" i="4" a="1"/>
  <c r="F78" i="4" s="1"/>
  <c r="F79" i="4" a="1"/>
  <c r="F79" i="4" s="1"/>
  <c r="F80" i="4" a="1"/>
  <c r="F80" i="4" s="1"/>
  <c r="F81" i="4" a="1"/>
  <c r="F81" i="4" s="1"/>
  <c r="F82" i="4" a="1"/>
  <c r="F82" i="4" s="1"/>
  <c r="F83" i="4" a="1"/>
  <c r="F83" i="4" s="1"/>
  <c r="F84" i="4" a="1"/>
  <c r="F84" i="4" s="1"/>
  <c r="F85" i="4" a="1"/>
  <c r="F85" i="4" s="1"/>
  <c r="F86" i="4" a="1"/>
  <c r="F86" i="4" s="1"/>
  <c r="F87" i="4" a="1"/>
  <c r="F87" i="4" s="1"/>
  <c r="F88" i="4" a="1"/>
  <c r="F88" i="4" s="1"/>
  <c r="F89" i="4" a="1"/>
  <c r="F89" i="4" s="1"/>
  <c r="F90" i="4" a="1"/>
  <c r="F90" i="4" s="1"/>
  <c r="F91" i="4" a="1"/>
  <c r="F91" i="4" s="1"/>
  <c r="F92" i="4" a="1"/>
  <c r="F92" i="4" s="1"/>
  <c r="F93" i="4" a="1"/>
  <c r="F93" i="4" s="1"/>
  <c r="F94" i="4" a="1"/>
  <c r="F94" i="4" s="1"/>
  <c r="F95" i="4" a="1"/>
  <c r="F95" i="4" s="1"/>
  <c r="F96" i="4" a="1"/>
  <c r="F96" i="4" s="1"/>
  <c r="F97" i="4" a="1"/>
  <c r="F97" i="4" s="1"/>
  <c r="F98" i="4" a="1"/>
  <c r="F98" i="4" s="1"/>
  <c r="F99" i="4" a="1"/>
  <c r="F99" i="4" s="1"/>
  <c r="F100" i="4" a="1"/>
  <c r="F100" i="4" s="1"/>
  <c r="F101" i="4" a="1"/>
  <c r="F101" i="4" s="1"/>
  <c r="F102" i="4" a="1"/>
  <c r="F102" i="4" s="1"/>
  <c r="F103" i="4" a="1"/>
  <c r="F103" i="4" s="1"/>
  <c r="F104" i="4" a="1"/>
  <c r="F104" i="4" s="1"/>
  <c r="F105" i="4" a="1"/>
  <c r="F105" i="4" s="1"/>
  <c r="F106" i="4" a="1"/>
  <c r="F106" i="4" s="1"/>
  <c r="F107" i="4" a="1"/>
  <c r="F107" i="4" s="1"/>
  <c r="F108" i="4" a="1"/>
  <c r="F108" i="4" s="1"/>
  <c r="F109" i="4" a="1"/>
  <c r="F109" i="4" s="1"/>
  <c r="F110" i="4" a="1"/>
  <c r="F110" i="4" s="1"/>
  <c r="F111" i="4" a="1"/>
  <c r="F111" i="4" s="1"/>
  <c r="F112" i="4" a="1"/>
  <c r="F112" i="4" s="1"/>
  <c r="F113" i="4" a="1"/>
  <c r="F113" i="4" s="1"/>
  <c r="F114" i="4" a="1"/>
  <c r="F114" i="4" s="1"/>
  <c r="F115" i="4" a="1"/>
  <c r="F115" i="4" s="1"/>
  <c r="F116" i="4" a="1"/>
  <c r="F116" i="4" s="1"/>
  <c r="F117" i="4" a="1"/>
  <c r="F117" i="4" s="1"/>
  <c r="F118" i="4" a="1"/>
  <c r="F118" i="4" s="1"/>
  <c r="F119" i="4" a="1"/>
  <c r="F119" i="4" s="1"/>
  <c r="F120" i="4" a="1"/>
  <c r="F120" i="4" s="1"/>
  <c r="F121" i="4" a="1"/>
  <c r="F121" i="4" s="1"/>
  <c r="F122" i="4" a="1"/>
  <c r="F122" i="4" s="1"/>
  <c r="F123" i="4" a="1"/>
  <c r="F123" i="4" s="1"/>
  <c r="F124" i="4" a="1"/>
  <c r="F124" i="4" s="1"/>
  <c r="F125" i="4" a="1"/>
  <c r="F125" i="4" s="1"/>
  <c r="F126" i="4" a="1"/>
  <c r="F126" i="4" s="1"/>
  <c r="F127" i="4" a="1"/>
  <c r="F127" i="4" s="1"/>
  <c r="F128" i="4" a="1"/>
  <c r="F128" i="4" s="1"/>
  <c r="F129" i="4" a="1"/>
  <c r="F129" i="4" s="1"/>
  <c r="F130" i="4" a="1"/>
  <c r="F130" i="4" s="1"/>
  <c r="F131" i="4" a="1"/>
  <c r="F131" i="4" s="1"/>
  <c r="F132" i="4" a="1"/>
  <c r="F132" i="4" s="1"/>
  <c r="F133" i="4" a="1"/>
  <c r="F133" i="4" s="1"/>
  <c r="F134" i="4" a="1"/>
  <c r="F134" i="4" s="1"/>
  <c r="F135" i="4" a="1"/>
  <c r="F135" i="4" s="1"/>
  <c r="F136" i="4" a="1"/>
  <c r="F136" i="4" s="1"/>
  <c r="F137" i="4" a="1"/>
  <c r="F137" i="4" s="1"/>
  <c r="F138" i="4" a="1"/>
  <c r="F138" i="4" s="1"/>
  <c r="F139" i="4" a="1"/>
  <c r="F139" i="4" s="1"/>
  <c r="F140" i="4" a="1"/>
  <c r="F140" i="4" s="1"/>
  <c r="F141" i="4" a="1"/>
  <c r="F141" i="4" s="1"/>
  <c r="F142" i="4" a="1"/>
  <c r="F142" i="4" s="1"/>
  <c r="F143" i="4" a="1"/>
  <c r="F143" i="4" s="1"/>
  <c r="F144" i="4" a="1"/>
  <c r="F144" i="4" s="1"/>
  <c r="F145" i="4" a="1"/>
  <c r="F145" i="4" s="1"/>
  <c r="F146" i="4" a="1"/>
  <c r="F146" i="4" s="1"/>
  <c r="F147" i="4" a="1"/>
  <c r="F147" i="4" s="1"/>
  <c r="F148" i="4" a="1"/>
  <c r="F148" i="4" s="1"/>
  <c r="F149" i="4" a="1"/>
  <c r="F149" i="4" s="1"/>
  <c r="F150" i="4" a="1"/>
  <c r="F150" i="4" s="1"/>
  <c r="F151" i="4" a="1"/>
  <c r="F151" i="4" s="1"/>
  <c r="F152" i="4" a="1"/>
  <c r="F152" i="4" s="1"/>
  <c r="F153" i="4" a="1"/>
  <c r="F153" i="4" s="1"/>
  <c r="F154" i="4" a="1"/>
  <c r="F154" i="4" s="1"/>
  <c r="F155" i="4" a="1"/>
  <c r="F155" i="4" s="1"/>
  <c r="F156" i="4" a="1"/>
  <c r="F156" i="4" s="1"/>
  <c r="F157" i="4" a="1"/>
  <c r="F157" i="4" s="1"/>
  <c r="F158" i="4" a="1"/>
  <c r="F158" i="4" s="1"/>
  <c r="F159" i="4" a="1"/>
  <c r="F159" i="4" s="1"/>
  <c r="F160" i="4" a="1"/>
  <c r="F160" i="4" s="1"/>
  <c r="F161" i="4" a="1"/>
  <c r="F161" i="4" s="1"/>
  <c r="F162" i="4" a="1"/>
  <c r="F162" i="4" s="1"/>
  <c r="F163" i="4" a="1"/>
  <c r="F163" i="4" s="1"/>
  <c r="F164" i="4" a="1"/>
  <c r="F164" i="4" s="1"/>
  <c r="F165" i="4" a="1"/>
  <c r="F165" i="4" s="1"/>
  <c r="F166" i="4" a="1"/>
  <c r="F166" i="4" s="1"/>
  <c r="F167" i="4" a="1"/>
  <c r="F167" i="4" s="1"/>
  <c r="F168" i="4" a="1"/>
  <c r="F168" i="4" s="1"/>
  <c r="F169" i="4" a="1"/>
  <c r="F169" i="4" s="1"/>
  <c r="F170" i="4" a="1"/>
  <c r="F170" i="4" s="1"/>
  <c r="F171" i="4" a="1"/>
  <c r="F171" i="4" s="1"/>
  <c r="F172" i="4" a="1"/>
  <c r="F172" i="4" s="1"/>
  <c r="F173" i="4" a="1"/>
  <c r="F173" i="4" s="1"/>
  <c r="F174" i="4" a="1"/>
  <c r="F174" i="4" s="1"/>
  <c r="F175" i="4" a="1"/>
  <c r="F175" i="4" s="1"/>
  <c r="F176" i="4" a="1"/>
  <c r="F176" i="4" s="1"/>
  <c r="F177" i="4" a="1"/>
  <c r="F177" i="4" s="1"/>
  <c r="F178" i="4" a="1"/>
  <c r="F178" i="4" s="1"/>
  <c r="F179" i="4" a="1"/>
  <c r="F179" i="4" s="1"/>
  <c r="F180" i="4" a="1"/>
  <c r="F180" i="4" s="1"/>
  <c r="F181" i="4" a="1"/>
  <c r="F181" i="4" s="1"/>
  <c r="F182" i="4" a="1"/>
  <c r="F182" i="4" s="1"/>
  <c r="F183" i="4" a="1"/>
  <c r="F183" i="4" s="1"/>
  <c r="F184" i="4" a="1"/>
  <c r="F184" i="4" s="1"/>
  <c r="F185" i="4" a="1"/>
  <c r="F185" i="4" s="1"/>
  <c r="F186" i="4" a="1"/>
  <c r="F186" i="4" s="1"/>
  <c r="F187" i="4" a="1"/>
  <c r="F187" i="4" s="1"/>
  <c r="F188" i="4" a="1"/>
  <c r="F188" i="4" s="1"/>
  <c r="F189" i="4" a="1"/>
  <c r="F189" i="4" s="1"/>
  <c r="F190" i="4" a="1"/>
  <c r="F190" i="4" s="1"/>
  <c r="F191" i="4" a="1"/>
  <c r="F191" i="4" s="1"/>
  <c r="F192" i="4" a="1"/>
  <c r="F192" i="4" s="1"/>
  <c r="F193" i="4" a="1"/>
  <c r="F193" i="4" s="1"/>
  <c r="F194" i="4" a="1"/>
  <c r="F194" i="4" s="1"/>
  <c r="F195" i="4" a="1"/>
  <c r="F195" i="4" s="1"/>
  <c r="F196" i="4" a="1"/>
  <c r="F196" i="4" s="1"/>
  <c r="F197" i="4" a="1"/>
  <c r="F197" i="4" s="1"/>
  <c r="F198" i="4" a="1"/>
  <c r="F198" i="4" s="1"/>
  <c r="F199" i="4" a="1"/>
  <c r="F199" i="4" s="1"/>
  <c r="F200" i="4" a="1"/>
  <c r="F200" i="4" s="1"/>
  <c r="F201" i="4" a="1"/>
  <c r="F201" i="4" s="1"/>
  <c r="F202" i="4" a="1"/>
  <c r="F202" i="4" s="1"/>
  <c r="F203" i="4" a="1"/>
  <c r="F203" i="4" s="1"/>
  <c r="F204" i="4" a="1"/>
  <c r="F204" i="4" s="1"/>
  <c r="F205" i="4" a="1"/>
  <c r="F205" i="4" s="1"/>
  <c r="F206" i="4" a="1"/>
  <c r="F206" i="4" s="1"/>
  <c r="F207" i="4" a="1"/>
  <c r="F207" i="4" s="1"/>
  <c r="F208" i="4" a="1"/>
  <c r="F208" i="4" s="1"/>
  <c r="F209" i="4" a="1"/>
  <c r="F209" i="4" s="1"/>
  <c r="F210" i="4" a="1"/>
  <c r="F210" i="4" s="1"/>
  <c r="F211" i="4" a="1"/>
  <c r="F211" i="4" s="1"/>
  <c r="F212" i="4" a="1"/>
  <c r="F212" i="4" s="1"/>
  <c r="F213" i="4" a="1"/>
  <c r="F213" i="4" s="1"/>
  <c r="F214" i="4" a="1"/>
  <c r="F214" i="4" s="1"/>
  <c r="F215" i="4" a="1"/>
  <c r="F215" i="4" s="1"/>
  <c r="F216" i="4" a="1"/>
  <c r="F216" i="4" s="1"/>
  <c r="F217" i="4" a="1"/>
  <c r="F217" i="4" s="1"/>
  <c r="F218" i="4" a="1"/>
  <c r="F218" i="4" s="1"/>
  <c r="F219" i="4" a="1"/>
  <c r="F219" i="4" s="1"/>
  <c r="F220" i="4" a="1"/>
  <c r="F220" i="4" s="1"/>
  <c r="F221" i="4" a="1"/>
  <c r="F221" i="4" s="1"/>
  <c r="F222" i="4" a="1"/>
  <c r="F222" i="4" s="1"/>
  <c r="F223" i="4" a="1"/>
  <c r="F223" i="4" s="1"/>
  <c r="F224" i="4" a="1"/>
  <c r="F224" i="4" s="1"/>
  <c r="F225" i="4" a="1"/>
  <c r="F225" i="4" s="1"/>
  <c r="F226" i="4" a="1"/>
  <c r="F226" i="4" s="1"/>
  <c r="F227" i="4" a="1"/>
  <c r="F227" i="4" s="1"/>
  <c r="F228" i="4" a="1"/>
  <c r="F228" i="4" s="1"/>
  <c r="F229" i="4" a="1"/>
  <c r="F229" i="4" s="1"/>
  <c r="F230" i="4" a="1"/>
  <c r="F230" i="4" s="1"/>
  <c r="F231" i="4" a="1"/>
  <c r="F231" i="4" s="1"/>
  <c r="F232" i="4" a="1"/>
  <c r="F232" i="4" s="1"/>
  <c r="F233" i="4" a="1"/>
  <c r="F233" i="4" s="1"/>
  <c r="F234" i="4" a="1"/>
  <c r="F234" i="4" s="1"/>
  <c r="F235" i="4" a="1"/>
  <c r="F235" i="4" s="1"/>
  <c r="F236" i="4" a="1"/>
  <c r="F236" i="4" s="1"/>
  <c r="F237" i="4" a="1"/>
  <c r="F237" i="4" s="1"/>
  <c r="F238" i="4" a="1"/>
  <c r="F238" i="4" s="1"/>
  <c r="F239" i="4" a="1"/>
  <c r="F239" i="4" s="1"/>
  <c r="F240" i="4" a="1"/>
  <c r="F240" i="4" s="1"/>
  <c r="F241" i="4" a="1"/>
  <c r="F241" i="4" s="1"/>
  <c r="F242" i="4" a="1"/>
  <c r="F242" i="4" s="1"/>
  <c r="F243" i="4" a="1"/>
  <c r="F243" i="4" s="1"/>
  <c r="F244" i="4" a="1"/>
  <c r="F244" i="4" s="1"/>
  <c r="F245" i="4" a="1"/>
  <c r="F245" i="4" s="1"/>
  <c r="F246" i="4" a="1"/>
  <c r="F246" i="4" s="1"/>
  <c r="F247" i="4" a="1"/>
  <c r="F247" i="4" s="1"/>
  <c r="F248" i="4" a="1"/>
  <c r="F248" i="4" s="1"/>
  <c r="F249" i="4" a="1"/>
  <c r="F249" i="4" s="1"/>
  <c r="F250" i="4" a="1"/>
  <c r="F250" i="4" s="1"/>
  <c r="F251" i="4" a="1"/>
  <c r="F251" i="4" s="1"/>
  <c r="F252" i="4" a="1"/>
  <c r="F252" i="4" s="1"/>
  <c r="F253" i="4" a="1"/>
  <c r="F253" i="4" s="1"/>
  <c r="F254" i="4" a="1"/>
  <c r="F254" i="4" s="1"/>
  <c r="F255" i="4" a="1"/>
  <c r="F255" i="4" s="1"/>
  <c r="F256" i="4" a="1"/>
  <c r="F256" i="4" s="1"/>
  <c r="F257" i="4" a="1"/>
  <c r="F257" i="4" s="1"/>
  <c r="F258" i="4" a="1"/>
  <c r="F258" i="4" s="1"/>
  <c r="F259" i="4" a="1"/>
  <c r="F259" i="4" s="1"/>
  <c r="F260" i="4" a="1"/>
  <c r="F260" i="4" s="1"/>
  <c r="F261" i="4" a="1"/>
  <c r="F261" i="4" s="1"/>
  <c r="F262" i="4" a="1"/>
  <c r="F262" i="4" s="1"/>
  <c r="F263" i="4" a="1"/>
  <c r="F263" i="4" s="1"/>
  <c r="F264" i="4" a="1"/>
  <c r="F264" i="4" s="1"/>
  <c r="F265" i="4" a="1"/>
  <c r="F265" i="4" s="1"/>
  <c r="F266" i="4" a="1"/>
  <c r="F266" i="4" s="1"/>
  <c r="F267" i="4" a="1"/>
  <c r="F267" i="4" s="1"/>
  <c r="F268" i="4" a="1"/>
  <c r="F268" i="4" s="1"/>
  <c r="F269" i="4" a="1"/>
  <c r="F269" i="4" s="1"/>
  <c r="F270" i="4" a="1"/>
  <c r="F270" i="4" s="1"/>
  <c r="F271" i="4" a="1"/>
  <c r="F271" i="4" s="1"/>
  <c r="F272" i="4" a="1"/>
  <c r="F272" i="4" s="1"/>
  <c r="F273" i="4" a="1"/>
  <c r="F273" i="4" s="1"/>
  <c r="F274" i="4" a="1"/>
  <c r="F274" i="4" s="1"/>
  <c r="F275" i="4" a="1"/>
  <c r="F275" i="4" s="1"/>
  <c r="F276" i="4" a="1"/>
  <c r="F276" i="4" s="1"/>
  <c r="F277" i="4" a="1"/>
  <c r="F277" i="4" s="1"/>
  <c r="F278" i="4" a="1"/>
  <c r="F278" i="4" s="1"/>
  <c r="F279" i="4" a="1"/>
  <c r="F279" i="4" s="1"/>
  <c r="F280" i="4" a="1"/>
  <c r="F280" i="4" s="1"/>
  <c r="F281" i="4" a="1"/>
  <c r="F281" i="4" s="1"/>
  <c r="F282" i="4" a="1"/>
  <c r="F282" i="4" s="1"/>
  <c r="F283" i="4" a="1"/>
  <c r="F283" i="4" s="1"/>
  <c r="F284" i="4" a="1"/>
  <c r="F284" i="4" s="1"/>
  <c r="F285" i="4" a="1"/>
  <c r="F285" i="4" s="1"/>
  <c r="F286" i="4" a="1"/>
  <c r="F286" i="4" s="1"/>
  <c r="F287" i="4" a="1"/>
  <c r="F287" i="4" s="1"/>
  <c r="F288" i="4" a="1"/>
  <c r="F288" i="4" s="1"/>
  <c r="F289" i="4" a="1"/>
  <c r="F289" i="4" s="1"/>
  <c r="F290" i="4" a="1"/>
  <c r="F290" i="4" s="1"/>
  <c r="F291" i="4" a="1"/>
  <c r="F291" i="4" s="1"/>
  <c r="F2" i="4" a="1"/>
  <c r="F2" i="4" s="1"/>
  <c r="I2" i="4" a="1"/>
  <c r="I285" i="4" s="1"/>
  <c r="I36" i="4" l="1"/>
  <c r="I116" i="4"/>
  <c r="I45" i="4"/>
  <c r="I101" i="4"/>
  <c r="I152" i="4"/>
  <c r="I207" i="4"/>
  <c r="I234" i="4"/>
  <c r="I280" i="4"/>
  <c r="I12" i="4"/>
  <c r="I68" i="4"/>
  <c r="I100" i="4"/>
  <c r="I142" i="4"/>
  <c r="I178" i="4"/>
  <c r="I242" i="4"/>
  <c r="I21" i="4"/>
  <c r="I61" i="4"/>
  <c r="I93" i="4"/>
  <c r="I134" i="4"/>
  <c r="I170" i="4"/>
  <c r="I216" i="4"/>
  <c r="I262" i="4"/>
  <c r="I44" i="4"/>
  <c r="I108" i="4"/>
  <c r="I29" i="4"/>
  <c r="I69" i="4"/>
  <c r="I109" i="4"/>
  <c r="I143" i="4"/>
  <c r="I189" i="4"/>
  <c r="I243" i="4"/>
  <c r="I22" i="4"/>
  <c r="I38" i="4"/>
  <c r="I62" i="4"/>
  <c r="I86" i="4"/>
  <c r="I110" i="4"/>
  <c r="I135" i="4"/>
  <c r="I153" i="4"/>
  <c r="I171" i="4"/>
  <c r="I199" i="4"/>
  <c r="I226" i="4"/>
  <c r="I245" i="4"/>
  <c r="I272" i="4"/>
  <c r="I15" i="4"/>
  <c r="I39" i="4"/>
  <c r="I63" i="4"/>
  <c r="I87" i="4"/>
  <c r="I103" i="4"/>
  <c r="I127" i="4"/>
  <c r="I154" i="4"/>
  <c r="I182" i="4"/>
  <c r="I200" i="4"/>
  <c r="I218" i="4"/>
  <c r="I246" i="4"/>
  <c r="I255" i="4"/>
  <c r="I273" i="4"/>
  <c r="I291" i="4"/>
  <c r="I8" i="4"/>
  <c r="I16" i="4"/>
  <c r="I24" i="4"/>
  <c r="I32" i="4"/>
  <c r="I40" i="4"/>
  <c r="I48" i="4"/>
  <c r="I56" i="4"/>
  <c r="I64" i="4"/>
  <c r="I72" i="4"/>
  <c r="I80" i="4"/>
  <c r="I88" i="4"/>
  <c r="I96" i="4"/>
  <c r="I104" i="4"/>
  <c r="I112" i="4"/>
  <c r="I120" i="4"/>
  <c r="I128" i="4"/>
  <c r="I137" i="4"/>
  <c r="I146" i="4"/>
  <c r="I155" i="4"/>
  <c r="I165" i="4"/>
  <c r="I174" i="4"/>
  <c r="I183" i="4"/>
  <c r="I192" i="4"/>
  <c r="I201" i="4"/>
  <c r="I210" i="4"/>
  <c r="I219" i="4"/>
  <c r="I229" i="4"/>
  <c r="I238" i="4"/>
  <c r="I247" i="4"/>
  <c r="I256" i="4"/>
  <c r="I265" i="4"/>
  <c r="I274" i="4"/>
  <c r="I283" i="4"/>
  <c r="I4" i="4"/>
  <c r="I28" i="4"/>
  <c r="I60" i="4"/>
  <c r="I84" i="4"/>
  <c r="I133" i="4"/>
  <c r="I160" i="4"/>
  <c r="I187" i="4"/>
  <c r="I215" i="4"/>
  <c r="I233" i="4"/>
  <c r="I261" i="4"/>
  <c r="I288" i="4"/>
  <c r="I13" i="4"/>
  <c r="I53" i="4"/>
  <c r="I85" i="4"/>
  <c r="I125" i="4"/>
  <c r="I161" i="4"/>
  <c r="I198" i="4"/>
  <c r="I225" i="4"/>
  <c r="I253" i="4"/>
  <c r="I271" i="4"/>
  <c r="I289" i="4"/>
  <c r="I14" i="4"/>
  <c r="I46" i="4"/>
  <c r="I70" i="4"/>
  <c r="I94" i="4"/>
  <c r="I126" i="4"/>
  <c r="I162" i="4"/>
  <c r="I190" i="4"/>
  <c r="I217" i="4"/>
  <c r="I254" i="4"/>
  <c r="I23" i="4"/>
  <c r="I47" i="4"/>
  <c r="I71" i="4"/>
  <c r="I95" i="4"/>
  <c r="I119" i="4"/>
  <c r="I145" i="4"/>
  <c r="I173" i="4"/>
  <c r="I209" i="4"/>
  <c r="I237" i="4"/>
  <c r="I282" i="4"/>
  <c r="I2" i="4"/>
  <c r="I9" i="4"/>
  <c r="I17" i="4"/>
  <c r="I25" i="4"/>
  <c r="I33" i="4"/>
  <c r="I41" i="4"/>
  <c r="I49" i="4"/>
  <c r="I57" i="4"/>
  <c r="I65" i="4"/>
  <c r="I73" i="4"/>
  <c r="I81" i="4"/>
  <c r="I89" i="4"/>
  <c r="I97" i="4"/>
  <c r="I105" i="4"/>
  <c r="I113" i="4"/>
  <c r="I121" i="4"/>
  <c r="I129" i="4"/>
  <c r="I138" i="4"/>
  <c r="I147" i="4"/>
  <c r="I157" i="4"/>
  <c r="I166" i="4"/>
  <c r="I175" i="4"/>
  <c r="I184" i="4"/>
  <c r="I193" i="4"/>
  <c r="I202" i="4"/>
  <c r="I211" i="4"/>
  <c r="I221" i="4"/>
  <c r="I230" i="4"/>
  <c r="I239" i="4"/>
  <c r="I248" i="4"/>
  <c r="I257" i="4"/>
  <c r="I266" i="4"/>
  <c r="I275" i="4"/>
  <c r="I284" i="4"/>
  <c r="I276" i="4"/>
  <c r="I268" i="4"/>
  <c r="I260" i="4"/>
  <c r="I252" i="4"/>
  <c r="I244" i="4"/>
  <c r="I236" i="4"/>
  <c r="I228" i="4"/>
  <c r="I220" i="4"/>
  <c r="I212" i="4"/>
  <c r="I204" i="4"/>
  <c r="I196" i="4"/>
  <c r="I188" i="4"/>
  <c r="I180" i="4"/>
  <c r="I172" i="4"/>
  <c r="I164" i="4"/>
  <c r="I156" i="4"/>
  <c r="I148" i="4"/>
  <c r="I140" i="4"/>
  <c r="I132" i="4"/>
  <c r="I10" i="4"/>
  <c r="I18" i="4"/>
  <c r="I26" i="4"/>
  <c r="I34" i="4"/>
  <c r="I42" i="4"/>
  <c r="I50" i="4"/>
  <c r="I58" i="4"/>
  <c r="I66" i="4"/>
  <c r="I74" i="4"/>
  <c r="I82" i="4"/>
  <c r="I90" i="4"/>
  <c r="I98" i="4"/>
  <c r="I106" i="4"/>
  <c r="I114" i="4"/>
  <c r="I122" i="4"/>
  <c r="I130" i="4"/>
  <c r="I139" i="4"/>
  <c r="I149" i="4"/>
  <c r="I158" i="4"/>
  <c r="I167" i="4"/>
  <c r="I176" i="4"/>
  <c r="I185" i="4"/>
  <c r="I194" i="4"/>
  <c r="I203" i="4"/>
  <c r="I213" i="4"/>
  <c r="I222" i="4"/>
  <c r="I231" i="4"/>
  <c r="I240" i="4"/>
  <c r="I249" i="4"/>
  <c r="I258" i="4"/>
  <c r="I267" i="4"/>
  <c r="I277" i="4"/>
  <c r="I286" i="4"/>
  <c r="I20" i="4"/>
  <c r="I52" i="4"/>
  <c r="I76" i="4"/>
  <c r="I92" i="4"/>
  <c r="I124" i="4"/>
  <c r="I151" i="4"/>
  <c r="I169" i="4"/>
  <c r="I197" i="4"/>
  <c r="I206" i="4"/>
  <c r="I224" i="4"/>
  <c r="I251" i="4"/>
  <c r="I270" i="4"/>
  <c r="I279" i="4"/>
  <c r="I5" i="4"/>
  <c r="I37" i="4"/>
  <c r="I77" i="4"/>
  <c r="I117" i="4"/>
  <c r="I179" i="4"/>
  <c r="I6" i="4"/>
  <c r="I30" i="4"/>
  <c r="I54" i="4"/>
  <c r="I78" i="4"/>
  <c r="I102" i="4"/>
  <c r="I118" i="4"/>
  <c r="I144" i="4"/>
  <c r="I181" i="4"/>
  <c r="I208" i="4"/>
  <c r="I235" i="4"/>
  <c r="I263" i="4"/>
  <c r="I281" i="4"/>
  <c r="I290" i="4"/>
  <c r="I7" i="4"/>
  <c r="I31" i="4"/>
  <c r="I55" i="4"/>
  <c r="I79" i="4"/>
  <c r="I111" i="4"/>
  <c r="I136" i="4"/>
  <c r="I163" i="4"/>
  <c r="I191" i="4"/>
  <c r="I227" i="4"/>
  <c r="I264" i="4"/>
  <c r="I3" i="4"/>
  <c r="I11" i="4"/>
  <c r="I19" i="4"/>
  <c r="I27" i="4"/>
  <c r="I35" i="4"/>
  <c r="I43" i="4"/>
  <c r="I51" i="4"/>
  <c r="I59" i="4"/>
  <c r="I67" i="4"/>
  <c r="I75" i="4"/>
  <c r="I83" i="4"/>
  <c r="I91" i="4"/>
  <c r="I99" i="4"/>
  <c r="I107" i="4"/>
  <c r="I115" i="4"/>
  <c r="I123" i="4"/>
  <c r="I131" i="4"/>
  <c r="I141" i="4"/>
  <c r="I150" i="4"/>
  <c r="I159" i="4"/>
  <c r="I168" i="4"/>
  <c r="I177" i="4"/>
  <c r="I186" i="4"/>
  <c r="I195" i="4"/>
  <c r="I205" i="4"/>
  <c r="I214" i="4"/>
  <c r="I223" i="4"/>
  <c r="I232" i="4"/>
  <c r="I241" i="4"/>
  <c r="I250" i="4"/>
  <c r="I259" i="4"/>
  <c r="I269" i="4"/>
  <c r="I278" i="4"/>
  <c r="I287"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<sst xmlns="http://schemas.openxmlformats.org/spreadsheetml/2006/main" count="1118" uniqueCount="203">
  <si>
    <t>STT</t>
  </si>
  <si>
    <t>Hạng mục</t>
  </si>
  <si>
    <t>Tên cụm</t>
  </si>
  <si>
    <t>Mã hoá cụm</t>
  </si>
  <si>
    <t>Tên địa chỉ</t>
  </si>
  <si>
    <t>Ký hiệu</t>
  </si>
  <si>
    <t>Lượng hàng</t>
  </si>
  <si>
    <t>Degisn_Cap
 (đơn vị 1000 TEU/năm)</t>
  </si>
  <si>
    <t>Hub Lạch Huyện - Cấp I (NĂM 2030: 3 300)</t>
  </si>
  <si>
    <t>ICD</t>
  </si>
  <si>
    <t>Hải Phòng</t>
  </si>
  <si>
    <t>ICD1-HP</t>
  </si>
  <si>
    <t>ICD Tân Cảng Hải Phòng</t>
  </si>
  <si>
    <t>ICDHP1-1</t>
  </si>
  <si>
    <t>ICD Đình Vũ + Nam Đình Vũ</t>
  </si>
  <si>
    <t>ICDHP2-1</t>
  </si>
  <si>
    <t>KCN</t>
  </si>
  <si>
    <t>KCN1-HP</t>
  </si>
  <si>
    <t>VinFast Factory (FVF)</t>
  </si>
  <si>
    <t>KCNHP1</t>
  </si>
  <si>
    <t>Đình Vũ</t>
  </si>
  <si>
    <t>KCNHP2</t>
  </si>
  <si>
    <t>Nam Đình Vũ</t>
  </si>
  <si>
    <t>KCNHP3</t>
  </si>
  <si>
    <t>CẢNG LẠCH HUYỆN</t>
  </si>
  <si>
    <t>DEEP C Hải phòng 3</t>
  </si>
  <si>
    <t>KCNHP4</t>
  </si>
  <si>
    <t>Cảng sông bến thuỷ</t>
  </si>
  <si>
    <t>Cụm sông Cấm</t>
  </si>
  <si>
    <t>CS1-HP</t>
  </si>
  <si>
    <t>Cảng Green Port- Tư nhân</t>
  </si>
  <si>
    <t>CSBTSC1</t>
  </si>
  <si>
    <t>kcn đình vũ</t>
  </si>
  <si>
    <t>Cảng Nam Hải</t>
  </si>
  <si>
    <t>CSBTSC2</t>
  </si>
  <si>
    <t>cụm cảng sông cấm</t>
  </si>
  <si>
    <t>Cảng Chùa Vẽ</t>
  </si>
  <si>
    <t>CSBTSC3</t>
  </si>
  <si>
    <t>ICD Tân Cảng Quế Võ</t>
  </si>
  <si>
    <t>cảng 128</t>
  </si>
  <si>
    <t>CSBTSC4</t>
  </si>
  <si>
    <t>ICD Long Biên</t>
  </si>
  <si>
    <t>Cảng Hái An</t>
  </si>
  <si>
    <t>CSBTSC5</t>
  </si>
  <si>
    <t>Trung tâm Logistics Quốc tế Bắc Giang</t>
  </si>
  <si>
    <t>cảng Công ty TNHH MTV 189</t>
  </si>
  <si>
    <t>CSBTSC6</t>
  </si>
  <si>
    <t>Trung gian vùng-Cấp II</t>
  </si>
  <si>
    <t>Bắc Ninh</t>
  </si>
  <si>
    <t>ICD2-BN</t>
  </si>
  <si>
    <t>ICDBN1</t>
  </si>
  <si>
    <t>Cảng Tân Chi (Bắc Ninh)</t>
  </si>
  <si>
    <t>ICDBN2</t>
  </si>
  <si>
    <t>2XF9+4H3, Phú Sơn, Gia Lâm, Hà Nội</t>
  </si>
  <si>
    <t>ICD Tiên Sơn</t>
  </si>
  <si>
    <t>ICDBN3</t>
  </si>
  <si>
    <t>VSIP Bắc Ninh</t>
  </si>
  <si>
    <t>Hà Nội</t>
  </si>
  <si>
    <t>ICD2-HN</t>
  </si>
  <si>
    <t>Cảng cạn Đông Anh</t>
  </si>
  <si>
    <t>ICDHN1</t>
  </si>
  <si>
    <t>ICDHN2</t>
  </si>
  <si>
    <t>DC</t>
  </si>
  <si>
    <t>DC2-BN</t>
  </si>
  <si>
    <t>SCTBN</t>
  </si>
  <si>
    <t>Hà Nội (tỉ lệ xnk 40:60) tỉ trọng xuất khẩu tắng ~31%)</t>
  </si>
  <si>
    <t>KCN2-HN</t>
  </si>
  <si>
    <t>Thăng Long</t>
  </si>
  <si>
    <t>KCNHN1</t>
  </si>
  <si>
    <t>Nam Thăng Long</t>
  </si>
  <si>
    <t>KCNHN2</t>
  </si>
  <si>
    <t>Nội Bài</t>
  </si>
  <si>
    <t>KCNHN3</t>
  </si>
  <si>
    <t>Sài Đồng B</t>
  </si>
  <si>
    <t>KCNHN4</t>
  </si>
  <si>
    <t>Hà Nội - Đài Tư</t>
  </si>
  <si>
    <t>KCNHN5</t>
  </si>
  <si>
    <t>Thạch Thất - Quốc Oai</t>
  </si>
  <si>
    <t>KCNHN6</t>
  </si>
  <si>
    <t>Phú Nghĩa</t>
  </si>
  <si>
    <t>KCNHN7</t>
  </si>
  <si>
    <t>Bắc Ninh (tỉ lệ xnk 53:47) xuất siêu</t>
  </si>
  <si>
    <t>KCN2-BN</t>
  </si>
  <si>
    <t>Quế Võ I - II - III</t>
  </si>
  <si>
    <t>KCNBN1</t>
  </si>
  <si>
    <t>Đại Đồng - Hoàn Sơn</t>
  </si>
  <si>
    <t>KCNBN2</t>
  </si>
  <si>
    <t>Thuận Thành I - II</t>
  </si>
  <si>
    <t>KCNBN3</t>
  </si>
  <si>
    <t>Tiên Sơn (GĐ1&amp;MR)</t>
  </si>
  <si>
    <t>KCNBN4</t>
  </si>
  <si>
    <t>Yên Phong I - II</t>
  </si>
  <si>
    <t>KCNBN5</t>
  </si>
  <si>
    <t>VSIP- VSIP II</t>
  </si>
  <si>
    <t>KCNBN6</t>
  </si>
  <si>
    <t>Gia Bình - 1 - 2</t>
  </si>
  <si>
    <t>KCNBN7</t>
  </si>
  <si>
    <t>Lương Tài 1 -2</t>
  </si>
  <si>
    <t>KCNBN8</t>
  </si>
  <si>
    <t>Yên Phong II - A</t>
  </si>
  <si>
    <t>KCNBN9</t>
  </si>
  <si>
    <t>Hưng Yên (tỉ lệ xnk 52:48) ổn định xuất siêu từ 2025</t>
  </si>
  <si>
    <t>KCN2-HY</t>
  </si>
  <si>
    <t>Phố Nối A - B</t>
  </si>
  <si>
    <t>KCNHY1</t>
  </si>
  <si>
    <t>Minh Đức</t>
  </si>
  <si>
    <t>KCNHY2</t>
  </si>
  <si>
    <t>Yên Mỹ - II</t>
  </si>
  <si>
    <t>KCNHY3</t>
  </si>
  <si>
    <t>Số 1 - 7</t>
  </si>
  <si>
    <t>KCNHY4</t>
  </si>
  <si>
    <t>Lý Thường Kiệt - VIDIFI</t>
  </si>
  <si>
    <t>KCNHY5</t>
  </si>
  <si>
    <t>KCN Sông Trà (TB)</t>
  </si>
  <si>
    <t>KCNHY6</t>
  </si>
  <si>
    <t>Phù Cừ - Tiên Lữ</t>
  </si>
  <si>
    <t>KCNHY7</t>
  </si>
  <si>
    <t>Cấp III</t>
  </si>
  <si>
    <t>Supra DC - Masan
 ( Bắc Ninh) XNK dự báo 2030: 382.74 tỷ USD(50/50)</t>
  </si>
  <si>
    <t>MASAN</t>
  </si>
  <si>
    <t>Khu CN Yên Mỹ II</t>
  </si>
  <si>
    <t>SCTDC1</t>
  </si>
  <si>
    <t>SCTDC2</t>
  </si>
  <si>
    <t>VSIP Yên Phong</t>
  </si>
  <si>
    <t>SCTDC3</t>
  </si>
  <si>
    <t>AEON NORTH RDC</t>
  </si>
  <si>
    <t>AEON</t>
  </si>
  <si>
    <t>SCTAE</t>
  </si>
  <si>
    <t>Node_Name</t>
  </si>
  <si>
    <t>Tier</t>
  </si>
  <si>
    <t>Node_Type</t>
  </si>
  <si>
    <t>Port</t>
  </si>
  <si>
    <t>Transshipment</t>
  </si>
  <si>
    <t>Sink</t>
  </si>
  <si>
    <t>Source</t>
  </si>
  <si>
    <t>Loại vận tải</t>
  </si>
  <si>
    <t>Chi phí trung bình (USD/TEU-km')</t>
  </si>
  <si>
    <t xml:space="preserve">Road </t>
  </si>
  <si>
    <t xml:space="preserve">Barge </t>
  </si>
  <si>
    <t>Rail</t>
  </si>
  <si>
    <t>MỨC ĐỘ 1 - BẮTBUỘC: BỔ SUNG CAPACITY (Cap_ij)</t>
  </si>
  <si>
    <t>Cột 1</t>
  </si>
  <si>
    <t>Loại tuyến</t>
  </si>
  <si>
    <t xml:space="preserve">Năng lực </t>
  </si>
  <si>
    <t>Quãng ngắn (&lt;50km)</t>
  </si>
  <si>
    <t>Quãng trung bình (50-150km)</t>
  </si>
  <si>
    <t>Quãng dài (&gt;150km)</t>
  </si>
  <si>
    <t>Đường thuỷ</t>
  </si>
  <si>
    <t>Đường sắt</t>
  </si>
  <si>
    <t>MỨC ĐỘ 1 - BẮTBUỘC: BỔ SUNG FIXED COST (FC_ij)</t>
  </si>
  <si>
    <t>Cột 3</t>
  </si>
  <si>
    <t>Gợi ý cụ thể</t>
  </si>
  <si>
    <t>Barge</t>
  </si>
  <si>
    <t>From</t>
  </si>
  <si>
    <t>Mode</t>
  </si>
  <si>
    <t>Distance (km)</t>
  </si>
  <si>
    <t>UnitCost (USD/TEU-km)</t>
  </si>
  <si>
    <t>Cap</t>
  </si>
  <si>
    <t>FixedCost</t>
  </si>
  <si>
    <t>Enabled</t>
  </si>
  <si>
    <t>IsExport</t>
  </si>
  <si>
    <t xml:space="preserve">Note </t>
  </si>
  <si>
    <t>Road</t>
  </si>
  <si>
    <t>IP</t>
  </si>
  <si>
    <t>Supply</t>
  </si>
  <si>
    <t>(Đơn vị: 1000 TEU)</t>
  </si>
  <si>
    <t>Demand</t>
  </si>
  <si>
    <t>Key</t>
  </si>
  <si>
    <t>Value</t>
  </si>
  <si>
    <t>exportDemand</t>
  </si>
  <si>
    <t>BigM</t>
  </si>
  <si>
    <t>KL</t>
  </si>
  <si>
    <t>KICD</t>
  </si>
  <si>
    <t>KPORT</t>
  </si>
  <si>
    <t>hL</t>
  </si>
  <si>
    <t>hICD</t>
  </si>
  <si>
    <t>hPORT</t>
  </si>
  <si>
    <t>K_road</t>
  </si>
  <si>
    <t>Inf</t>
  </si>
  <si>
    <t>K_rail</t>
  </si>
  <si>
    <t>K_water</t>
  </si>
  <si>
    <t>K_sea</t>
  </si>
  <si>
    <t>EF_road</t>
  </si>
  <si>
    <t>EF_rail</t>
  </si>
  <si>
    <t>EF_barge</t>
  </si>
  <si>
    <t>EF_sea</t>
  </si>
  <si>
    <t>Emax</t>
  </si>
  <si>
    <t>lambdaCO2</t>
  </si>
  <si>
    <t>Từ các nghiên cứu về hub logistics và relay networks:</t>
  </si>
  <si>
    <t>Nếu bạn có dữ liệu đội xe và kế hoạch khai thác, có thể đặt:</t>
  </si>
  <si>
    <t xml:space="preserve">Sức chứa tuyến i–j (TEU/ngày) = (số chuyến/ngày trên i–j) × (TEU/trip) </t>
  </si>
  <si>
    <t>Nếu chưa có số liệu chi tiết đội xe:</t>
  </si>
  <si>
    <t>Dùng “công suất thiết kế” của tuyến dựa trên: năng lực cảng/hub liên quan và mức sử dụng mong muốn (ví dụ 70–80% để tránh tắc nghẽn), giống các mô hình capacity deployment 3457+1 MORE.</t>
  </si>
  <si>
    <t>Trong mô hình MIP, bạn có thể:</t>
  </si>
  <si>
    <t>Đặt giới hạn luồng trên arc bằng biến số xe × tải trọng, với số xe bị giới hạn bởi chi phí/hợp đồng;</t>
  </si>
  <si>
    <t>Hoặc dùng ngưỡng cố định rút ra từ tổng công suất hub chia cho số tuyến kết nối, rồi kiểm tra độ nhạy (sensitivity analysis), cách làm phổ biến trong các bài toán hub logistics</t>
  </si>
  <si>
    <t>To</t>
  </si>
  <si>
    <t>No.</t>
  </si>
  <si>
    <t>TimeLimit</t>
  </si>
  <si>
    <t>cụm kcn hà nội</t>
  </si>
  <si>
    <t>cụm kcn bắc ninh</t>
  </si>
  <si>
    <t>cụm kcn hưng yên</t>
  </si>
  <si>
    <t>Design_Cap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</si>
</sst>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
    <numFmt numFmtId="165" formatCode="#,##0.00[$$]"/>
    <numFmt numFmtId="166" formatCode="#,##0[$$]"/>
  </numFmts>
  <fonts count="21" x14ac:knownFonts="1">
    <font>
      <sz val="12"/>
      <color theme="1"/>
      <name val="Calibri"/>
      <scheme val="minor"/>
    </font>
    <font>
      <sz val="14"/>
      <color rgb="FF000000"/>
      <name val="Times New Roman"/>
    </font>
    <font>
      <sz val="12"/>
      <color theme="1"/>
      <name val="Times New Roman"/>
    </font>
    <font>
      <sz val="12"/>
      <name val="Calibri"/>
    </font>
    <font>
      <b/>
      <sz val="14"/>
      <color rgb="FFFFFFFF"/>
      <name val="Times New Roman"/>
    </font>
    <font>
      <b/>
      <sz val="14"/>
      <color theme="0"/>
      <name val="Times New Roman"/>
    </font>
    <font>
      <sz val="14"/>
      <color theme="1"/>
      <name val="Times New Roman"/>
    </font>
    <font>
      <sz val="12"/>
      <color theme="1"/>
      <name val="Calibri"/>
    </font>
    <font>
      <b/>
      <sz val="12"/>
      <color rgb="FFFFFFFF"/>
      <name val="Times New Roman"/>
    </font>
    <font>
      <sz val="12"/>
      <color rgb="FFFFFFFF"/>
      <name val="Times New Roman"/>
    </font>
    <font>
      <b/>
      <sz val="12"/>
      <color theme="1"/>
      <name val="Times New Roman"/>
    </font>
    <font>
      <sz val="12"/>
      <color rgb="FF000000"/>
      <name val="Times New Roman"/>
    </font>
    <font>
      <sz val="12"/>
      <color theme="1"/>
      <name val="Calibri"/>
      <scheme val="minor"/>
    </font>
    <font>
      <b/>
      <sz val="12"/>
      <color rgb="FF000000"/>
      <name val="Times New Roman"/>
    </font>
    <font>
      <sz val="11"/>
      <color theme="1"/>
      <name val="Times New Roman"/>
    </font>
    <font>
      <b/>
      <sz val="11"/>
      <color rgb="FFFFFFFF"/>
      <name val="Times New Roman"/>
    </font>
    <font>
      <sz val="12"/>
      <color rgb="FF1F1F1F"/>
      <name val="Times New Roman"/>
    </font>
    <font>
      <sz val="11"/>
      <color rgb="FF000000"/>
      <name val="Times New Roman"/>
    </font>
    <font>
      <b/>
      <sz val="14"/>
      <color rgb="FFFFFFFF"/>
      <name val="Times New Roman"/>
      <family val="1"/>
    </font>
    <font>
      <sz val="12"/>
      <color theme="1"/>
      <name val="Times New Roman"/>
      <family val="1"/>
    </font>
    <font>
      <b/>
      <sz val="12"/>
      <color theme="1"/>
      <name val="Times New Roman"/>
      <family val="1"/>
    </font>
  </fonts>
  <fills count="19">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BE4D5"/>
        <bgColor rgb="FFFBE4D5"/>
      </patternFill>
    </fill>
    <fill>
      <patternFill patternType="solid">
        <fgColor rgb="FFC5E0B3"/>
        <bgColor rgb="FFC5E0B3"/>
      </patternFill>
    </fill>
    <fill>
      <patternFill patternType="solid">
        <fgColor rgb="FF356854"/>
        <bgColor rgb="FF356854"/>
      </patternFill>
    </fill>
    <fill>
      <patternFill patternType="solid">
        <fgColor rgb="FFEAD1DC"/>
        <bgColor rgb="FFEAD1DC"/>
      </patternFill>
    </fill>
    <fill>
      <patternFill patternType="solid">
        <fgColor theme="0"/>
        <bgColor theme="0"/>
      </patternFill>
    </fill>
    <fill>
      <patternFill patternType="solid">
        <fgColor rgb="FFD9D2E9"/>
        <bgColor rgb="FFD9D2E9"/>
      </patternFill>
    </fill>
    <fill>
      <patternFill patternType="solid">
        <fgColor rgb="FFCFE2F3"/>
        <bgColor rgb="FFCFE2F3"/>
      </patternFill>
    </fill>
    <fill>
      <patternFill patternType="solid">
        <fgColor rgb="FFD0E0E3"/>
        <bgColor rgb="FFD0E0E3"/>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E6B8AF"/>
        <bgColor rgb="FFE6B8AF"/>
      </patternFill>
    </fill>
    <fill>
      <patternFill patternType="solid">
        <fgColor rgb="FF1F4E79"/>
        <bgColor rgb="FF1F4E79"/>
      </patternFill>
    </fill>
    <fill>
      <patternFill patternType="solid">
        <fgColor theme="7" tint="0.79998168889431442"/>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right/>
      <top/>
      <bottom style="thin">
        <color rgb="FFC4C7C5"/>
      </bottom>
      <diagonal/>
    </border>
    <border>
      <left/>
      <right/>
      <top/>
      <bottom/>
      <diagonal/>
    </border>
  </borders>
  <cellStyleXfs count="1">
    <xf numFmtId="0" fontId="0" fillId="0" borderId="0"/>
  </cellStyleXfs>
  <cellXfs count="102">
    <xf numFmtId="0" fontId="0" fillId="0" borderId="0" xfId="0"/>
    <xf numFmtId="0" fontId="1" fillId="0" borderId="1" xfId="0" applyFont="1" applyBorder="1"/>
    <xf numFmtId="0" fontId="1" fillId="0" borderId="1" xfId="0" applyFont="1" applyBorder="1" applyAlignment="1">
      <alignment horizontal="center" wrapText="1"/>
    </xf>
    <xf numFmtId="0" fontId="2" fillId="0" borderId="0" xfId="0" applyFont="1"/>
    <xf numFmtId="0" fontId="1" fillId="2" borderId="1" xfId="0" applyFont="1" applyFill="1" applyBorder="1" applyAlignment="1">
      <alignment horizontal="center"/>
    </xf>
    <xf numFmtId="3" fontId="1" fillId="0" borderId="1" xfId="0" applyNumberFormat="1" applyFont="1" applyBorder="1" applyAlignment="1">
      <alignment horizontal="right"/>
    </xf>
    <xf numFmtId="0" fontId="1" fillId="0" borderId="1" xfId="0" applyFont="1" applyBorder="1" applyAlignment="1">
      <alignment horizontal="right"/>
    </xf>
    <xf numFmtId="0" fontId="1" fillId="3" borderId="1" xfId="0" applyFont="1" applyFill="1" applyBorder="1" applyAlignment="1">
      <alignment vertical="center"/>
    </xf>
    <xf numFmtId="0" fontId="1" fillId="4" borderId="1" xfId="0" applyFont="1" applyFill="1" applyBorder="1" applyAlignment="1">
      <alignment horizontal="center"/>
    </xf>
    <xf numFmtId="0" fontId="1" fillId="0" borderId="1" xfId="0" applyFont="1" applyBorder="1" applyAlignment="1">
      <alignment horizontal="center"/>
    </xf>
    <xf numFmtId="0" fontId="1" fillId="5" borderId="1" xfId="0" applyFont="1" applyFill="1" applyBorder="1" applyAlignment="1">
      <alignment horizontal="center"/>
    </xf>
    <xf numFmtId="0" fontId="2" fillId="0" borderId="0" xfId="0" applyFont="1" applyAlignment="1">
      <alignment horizontal="center"/>
    </xf>
    <xf numFmtId="0" fontId="5" fillId="0" borderId="6" xfId="0" applyFont="1" applyBorder="1" applyAlignment="1">
      <alignment horizontal="left" vertical="center"/>
    </xf>
    <xf numFmtId="0" fontId="4" fillId="0" borderId="7" xfId="0" applyFont="1" applyBorder="1" applyAlignment="1">
      <alignment horizontal="left" vertical="center" wrapText="1"/>
    </xf>
    <xf numFmtId="0" fontId="6" fillId="0" borderId="4" xfId="0" applyFont="1" applyBorder="1" applyAlignment="1">
      <alignment vertical="center"/>
    </xf>
    <xf numFmtId="0" fontId="6" fillId="0" borderId="1" xfId="0" applyFont="1" applyBorder="1" applyAlignment="1">
      <alignment vertical="center"/>
    </xf>
    <xf numFmtId="0" fontId="6" fillId="0" borderId="9" xfId="0" applyFont="1" applyBorder="1" applyAlignment="1">
      <alignment vertical="center"/>
    </xf>
    <xf numFmtId="0" fontId="6" fillId="0" borderId="5" xfId="0" applyFont="1" applyBorder="1" applyAlignment="1">
      <alignment vertical="center"/>
    </xf>
    <xf numFmtId="164" fontId="7" fillId="0" borderId="0" xfId="0" applyNumberFormat="1" applyFont="1"/>
    <xf numFmtId="0" fontId="8" fillId="6" borderId="1" xfId="0" applyFont="1" applyFill="1" applyBorder="1" applyAlignment="1">
      <alignment horizontal="center" wrapText="1"/>
    </xf>
    <xf numFmtId="0" fontId="2" fillId="0" borderId="1" xfId="0" applyFont="1" applyBorder="1" applyAlignment="1">
      <alignment wrapText="1"/>
    </xf>
    <xf numFmtId="0" fontId="2" fillId="0" borderId="0" xfId="0" applyFont="1" applyAlignment="1">
      <alignment wrapText="1"/>
    </xf>
    <xf numFmtId="165" fontId="2" fillId="0" borderId="0" xfId="0" applyNumberFormat="1" applyFont="1" applyAlignment="1">
      <alignment wrapText="1"/>
    </xf>
    <xf numFmtId="0" fontId="8" fillId="0" borderId="1" xfId="0" applyFont="1" applyBorder="1" applyAlignment="1">
      <alignment horizontal="left" vertical="center"/>
    </xf>
    <xf numFmtId="165" fontId="9" fillId="0" borderId="1" xfId="0" applyNumberFormat="1" applyFont="1" applyBorder="1" applyAlignment="1">
      <alignment horizontal="left" vertical="center"/>
    </xf>
    <xf numFmtId="0" fontId="10" fillId="0" borderId="1" xfId="0" applyFont="1" applyBorder="1" applyAlignment="1">
      <alignment horizontal="center" vertical="center"/>
    </xf>
    <xf numFmtId="165" fontId="10" fillId="0" borderId="1" xfId="0" applyNumberFormat="1" applyFont="1" applyBorder="1" applyAlignment="1">
      <alignment horizontal="center" vertical="center"/>
    </xf>
    <xf numFmtId="0" fontId="2" fillId="0" borderId="1" xfId="0" applyFont="1" applyBorder="1" applyAlignment="1">
      <alignment vertical="center"/>
    </xf>
    <xf numFmtId="3" fontId="11" fillId="3" borderId="1" xfId="0" applyNumberFormat="1" applyFont="1" applyFill="1" applyBorder="1"/>
    <xf numFmtId="0" fontId="8" fillId="0" borderId="0" xfId="0" applyFont="1" applyAlignment="1">
      <alignment horizontal="left" vertical="center"/>
    </xf>
    <xf numFmtId="165" fontId="8" fillId="0" borderId="0" xfId="0" applyNumberFormat="1" applyFont="1" applyAlignment="1">
      <alignment horizontal="left" vertical="center"/>
    </xf>
    <xf numFmtId="165" fontId="8" fillId="6" borderId="1" xfId="0" applyNumberFormat="1" applyFont="1" applyFill="1" applyBorder="1" applyAlignment="1">
      <alignment horizontal="center" wrapText="1"/>
    </xf>
    <xf numFmtId="0" fontId="11" fillId="0" borderId="1" xfId="0" applyFont="1" applyBorder="1" applyAlignment="1">
      <alignment horizontal="left" vertical="top"/>
    </xf>
    <xf numFmtId="165" fontId="2" fillId="0" borderId="0" xfId="0" applyNumberFormat="1" applyFont="1"/>
    <xf numFmtId="165" fontId="12" fillId="0" borderId="0" xfId="0" applyNumberFormat="1" applyFont="1"/>
    <xf numFmtId="0" fontId="10" fillId="0" borderId="1" xfId="0" applyFont="1" applyBorder="1"/>
    <xf numFmtId="0" fontId="14" fillId="7" borderId="1" xfId="0" applyFont="1" applyFill="1" applyBorder="1"/>
    <xf numFmtId="0" fontId="11" fillId="0" borderId="1" xfId="0" applyFont="1" applyBorder="1" applyAlignment="1">
      <alignment vertical="center" wrapText="1"/>
    </xf>
    <xf numFmtId="0" fontId="11" fillId="0" borderId="1" xfId="0" applyFont="1" applyBorder="1" applyAlignment="1">
      <alignment horizontal="right"/>
    </xf>
    <xf numFmtId="3" fontId="2" fillId="0" borderId="1" xfId="0" applyNumberFormat="1" applyFont="1" applyBorder="1" applyAlignment="1">
      <alignment horizontal="right"/>
    </xf>
    <xf numFmtId="0" fontId="2" fillId="0" borderId="1" xfId="0" applyFont="1" applyBorder="1" applyAlignment="1">
      <alignment horizontal="center"/>
    </xf>
    <xf numFmtId="0" fontId="2" fillId="8" borderId="0" xfId="0" applyFont="1" applyFill="1"/>
    <xf numFmtId="0" fontId="2" fillId="0" borderId="1" xfId="0" applyFont="1" applyBorder="1" applyAlignment="1">
      <alignment horizontal="center" wrapText="1"/>
    </xf>
    <xf numFmtId="0" fontId="14" fillId="9" borderId="1" xfId="0" applyFont="1" applyFill="1" applyBorder="1"/>
    <xf numFmtId="0" fontId="14" fillId="10" borderId="1" xfId="0" applyFont="1" applyFill="1" applyBorder="1"/>
    <xf numFmtId="0" fontId="2" fillId="0" borderId="1" xfId="0" applyFont="1" applyBorder="1"/>
    <xf numFmtId="0" fontId="14" fillId="11" borderId="1" xfId="0" applyFont="1" applyFill="1" applyBorder="1"/>
    <xf numFmtId="0" fontId="2" fillId="4" borderId="0" xfId="0" applyFont="1" applyFill="1"/>
    <xf numFmtId="0" fontId="14" fillId="12" borderId="1" xfId="0" applyFont="1" applyFill="1" applyBorder="1"/>
    <xf numFmtId="0" fontId="14" fillId="13" borderId="1" xfId="0" applyFont="1" applyFill="1" applyBorder="1"/>
    <xf numFmtId="0" fontId="14" fillId="14" borderId="1" xfId="0" applyFont="1" applyFill="1" applyBorder="1"/>
    <xf numFmtId="0" fontId="2" fillId="8" borderId="1" xfId="0" applyFont="1" applyFill="1" applyBorder="1" applyAlignment="1">
      <alignment wrapText="1"/>
    </xf>
    <xf numFmtId="0" fontId="2" fillId="8" borderId="1" xfId="0" applyFont="1" applyFill="1" applyBorder="1"/>
    <xf numFmtId="0" fontId="10" fillId="8" borderId="1" xfId="0" applyFont="1" applyFill="1" applyBorder="1"/>
    <xf numFmtId="0" fontId="2" fillId="8" borderId="1" xfId="0" applyFont="1" applyFill="1" applyBorder="1" applyAlignment="1">
      <alignment horizontal="center"/>
    </xf>
    <xf numFmtId="0" fontId="14" fillId="15" borderId="1" xfId="0" applyFont="1" applyFill="1" applyBorder="1"/>
    <xf numFmtId="0" fontId="14" fillId="16" borderId="1" xfId="0" applyFont="1" applyFill="1" applyBorder="1"/>
    <xf numFmtId="0" fontId="14" fillId="0" borderId="0" xfId="0" applyFont="1"/>
    <xf numFmtId="3" fontId="2" fillId="0" borderId="0" xfId="0" applyNumberFormat="1" applyFont="1" applyAlignment="1">
      <alignment horizontal="right"/>
    </xf>
    <xf numFmtId="3" fontId="10" fillId="0" borderId="0" xfId="0" applyNumberFormat="1" applyFont="1"/>
    <xf numFmtId="0" fontId="10" fillId="0" borderId="0" xfId="0" applyFont="1"/>
    <xf numFmtId="0" fontId="8" fillId="17" borderId="1" xfId="0" applyFont="1" applyFill="1" applyBorder="1" applyAlignment="1">
      <alignment horizontal="center"/>
    </xf>
    <xf numFmtId="3" fontId="8" fillId="17" borderId="1" xfId="0" applyNumberFormat="1" applyFont="1" applyFill="1" applyBorder="1" applyAlignment="1">
      <alignment horizontal="center"/>
    </xf>
    <xf numFmtId="3" fontId="11" fillId="0" borderId="1" xfId="0" applyNumberFormat="1" applyFont="1" applyBorder="1" applyAlignment="1">
      <alignment horizontal="right"/>
    </xf>
    <xf numFmtId="3" fontId="14" fillId="0" borderId="0" xfId="0" applyNumberFormat="1" applyFont="1" applyAlignment="1">
      <alignment horizontal="right"/>
    </xf>
    <xf numFmtId="3" fontId="2" fillId="0" borderId="0" xfId="0" applyNumberFormat="1" applyFont="1"/>
    <xf numFmtId="0" fontId="15" fillId="0" borderId="0" xfId="0" applyFont="1" applyAlignment="1">
      <alignment horizontal="center" wrapText="1"/>
    </xf>
    <xf numFmtId="3" fontId="15" fillId="0" borderId="0" xfId="0" applyNumberFormat="1" applyFont="1" applyAlignment="1">
      <alignment horizontal="center" wrapText="1"/>
    </xf>
    <xf numFmtId="0" fontId="16" fillId="0" borderId="10" xfId="0" applyFont="1" applyBorder="1"/>
    <xf numFmtId="0" fontId="16" fillId="0" borderId="0" xfId="0" applyFont="1"/>
    <xf numFmtId="0" fontId="11" fillId="0" borderId="1" xfId="0" applyFont="1" applyBorder="1"/>
    <xf numFmtId="3" fontId="2" fillId="0" borderId="1" xfId="0" applyNumberFormat="1" applyFont="1" applyBorder="1"/>
    <xf numFmtId="0" fontId="15" fillId="17" borderId="11" xfId="0" applyFont="1" applyFill="1" applyBorder="1" applyAlignment="1">
      <alignment horizontal="center"/>
    </xf>
    <xf numFmtId="0" fontId="17" fillId="0" borderId="0" xfId="0" applyFont="1"/>
    <xf numFmtId="3" fontId="17" fillId="0" borderId="0" xfId="0" applyNumberFormat="1" applyFont="1" applyAlignment="1">
      <alignment horizontal="right"/>
    </xf>
    <xf numFmtId="11" fontId="17" fillId="0" borderId="0" xfId="0" applyNumberFormat="1" applyFont="1" applyAlignment="1">
      <alignment horizontal="right"/>
    </xf>
    <xf numFmtId="0" fontId="17" fillId="0" borderId="0" xfId="0" applyFont="1" applyAlignment="1">
      <alignment horizontal="right"/>
    </xf>
    <xf numFmtId="0" fontId="7" fillId="0" borderId="0" xfId="0" applyFont="1"/>
    <xf numFmtId="0" fontId="10" fillId="18" borderId="1" xfId="0" applyFont="1" applyFill="1" applyBorder="1"/>
    <xf numFmtId="0" fontId="10" fillId="18" borderId="1" xfId="0" applyFont="1" applyFill="1" applyBorder="1" applyAlignment="1">
      <alignment wrapText="1"/>
    </xf>
    <xf numFmtId="0" fontId="13" fillId="18" borderId="1" xfId="0" applyFont="1" applyFill="1" applyBorder="1"/>
    <xf numFmtId="3" fontId="10" fillId="18" borderId="1" xfId="0" applyNumberFormat="1" applyFont="1" applyFill="1" applyBorder="1" applyAlignment="1">
      <alignment horizontal="right"/>
    </xf>
    <xf numFmtId="0" fontId="13" fillId="18" borderId="1" xfId="0" applyFont="1" applyFill="1" applyBorder="1" applyAlignment="1">
      <alignment horizontal="center"/>
    </xf>
    <xf numFmtId="0" fontId="18" fillId="0" borderId="8" xfId="0" applyFont="1" applyBorder="1" applyAlignment="1">
      <alignment horizontal="left" vertical="center"/>
    </xf>
    <xf numFmtId="166" fontId="11" fillId="0" borderId="1" xfId="0" applyNumberFormat="1" applyFont="1" applyBorder="1" applyAlignment="1">
      <alignment horizontal="right" vertical="top"/>
    </xf>
    <xf numFmtId="165" fontId="10" fillId="18" borderId="1" xfId="0" applyNumberFormat="1" applyFont="1" applyFill="1" applyBorder="1" applyAlignment="1">
      <alignment wrapText="1"/>
    </xf>
    <xf numFmtId="165" fontId="2" fillId="0" borderId="1" xfId="0" applyNumberFormat="1" applyFont="1" applyBorder="1" applyAlignment="1">
      <alignment wrapText="1"/>
    </xf>
    <xf numFmtId="165" fontId="0" fillId="0" borderId="0" xfId="0" applyNumberFormat="1"/>
    <xf numFmtId="3" fontId="19" fillId="0" borderId="1" xfId="0" applyNumberFormat="1" applyFont="1" applyBorder="1"/>
    <xf numFmtId="3" fontId="20" fillId="18" borderId="1" xfId="0" applyNumberFormat="1" applyFont="1" applyFill="1" applyBorder="1"/>
    <xf numFmtId="165" fontId="8" fillId="6" borderId="2" xfId="0" applyNumberFormat="1" applyFont="1" applyFill="1" applyBorder="1" applyAlignment="1">
      <alignment wrapText="1"/>
    </xf>
    <xf numFmtId="165" fontId="2" fillId="0" borderId="1" xfId="0" applyNumberFormat="1" applyFont="1" applyBorder="1"/>
    <xf numFmtId="0" fontId="1" fillId="0" borderId="5" xfId="0" applyFont="1" applyBorder="1" applyAlignment="1">
      <alignment horizontal="center"/>
    </xf>
    <xf numFmtId="0" fontId="3" fillId="0" borderId="7" xfId="0" applyFont="1" applyBorder="1"/>
    <xf numFmtId="0" fontId="3" fillId="0" borderId="6" xfId="0" applyFont="1" applyBorder="1"/>
    <xf numFmtId="0" fontId="1" fillId="5" borderId="2" xfId="0" applyFont="1" applyFill="1" applyBorder="1" applyAlignment="1">
      <alignment horizontal="center"/>
    </xf>
    <xf numFmtId="0" fontId="3" fillId="0" borderId="3" xfId="0" applyFont="1" applyBorder="1"/>
    <xf numFmtId="0" fontId="3" fillId="0" borderId="4" xfId="0" applyFont="1" applyBorder="1"/>
    <xf numFmtId="0" fontId="1" fillId="4" borderId="2" xfId="0" applyFont="1" applyFill="1" applyBorder="1" applyAlignment="1">
      <alignment horizontal="center"/>
    </xf>
    <xf numFmtId="3" fontId="1" fillId="0" borderId="5" xfId="0" applyNumberFormat="1" applyFont="1" applyBorder="1" applyAlignment="1">
      <alignment horizontal="center"/>
    </xf>
    <xf numFmtId="0" fontId="1" fillId="2" borderId="2" xfId="0" applyFont="1" applyFill="1" applyBorder="1" applyAlignment="1">
      <alignment horizontal="center"/>
    </xf>
    <xf numFmtId="3" fontId="6" fillId="0" borderId="1" xfId="0" applyNumberFormat="1" applyFont="1" applyBorder="1" applyAlignment="1">
      <alignment vertical="center"/>
    </xf>
  </cellXfs>
  <cellStyles count="1">
    <cellStyle name="Normal" xfId="0" builtinId="0"/>
  </cellStyles>
  <dxfs count="11">
    <dxf>
      <fill>
        <patternFill patternType="solid">
          <fgColor rgb="FFB7E1CD"/>
          <bgColor rgb="FFB7E1CD"/>
        </patternFill>
      </fill>
    </dxf>
    <dxf>
      <numFmt numFmtId="3" formatCode="#,##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Nodes-style" pivot="0" count="3" xr9:uid="{00000000-0011-0000-FFFF-FFFF00000000}">
      <tableStyleElement type="headerRow" dxfId="10"/>
      <tableStyleElement type="firstRowStripe" dxfId="9"/>
      <tableStyleElement type="secondRowStripe" dxfId="8"/>
    </tableStyle>
    <tableStyle name="Cost-style" pivot="0" count="3" xr9:uid="{00000000-0011-0000-FFFF-FFFF01000000}">
      <tableStyleElement type="headerRow" dxfId="7"/>
      <tableStyleElement type="firstRowStripe" dxfId="6"/>
      <tableStyleElement type="secondRowStripe" dxfId="5"/>
    </tableStyle>
    <tableStyle name="Cost-style 2" pivot="0" count="3" xr9:uid="{00000000-0011-0000-FFFF-FFFF02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0</xdr:rowOff>
    </xdr:from>
    <xdr:ext cx="4876800" cy="4629150"/>
    <xdr:pic>
      <xdr:nvPicPr>
        <xdr:cNvPr id="2" name="image1.png" title="Hình ảnh">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E13">
  <tableColumns count="5">
    <tableColumn id="1" xr3:uid="{00000000-0010-0000-0000-000001000000}" name="No."/>
    <tableColumn id="2" xr3:uid="{00000000-0010-0000-0000-000002000000}" name="Node_Name"/>
    <tableColumn id="3" xr3:uid="{00000000-0010-0000-0000-000003000000}" name="Tier"/>
    <tableColumn id="4" xr3:uid="{00000000-0010-0000-0000-000004000000}" name="Node_Type"/>
    <tableColumn id="5" xr3:uid="{00000000-0010-0000-0000-000005000000}" name="Design_Cap" dataDxfId="1"/>
  </tableColumns>
  <tableStyleInfo name="Nod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6:B13">
  <tableColumns count="2">
    <tableColumn id="1" xr3:uid="{00000000-0010-0000-0100-000001000000}" name="MỨC ĐỘ 1 - BẮTBUỘC: BỔ SUNG CAPACITY (Cap_ij)"/>
    <tableColumn id="2" xr3:uid="{00000000-0010-0000-0100-000002000000}" name="Cột 1"/>
  </tableColumns>
  <tableStyleInfo name="Cost-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4:B18" headerRowCount="0">
  <tableColumns count="2">
    <tableColumn id="1" xr3:uid="{00000000-0010-0000-0200-000001000000}" name="Column1"/>
    <tableColumn id="2" xr3:uid="{00000000-0010-0000-0200-000002000000}" name="Column2"/>
  </tableColumns>
  <tableStyleInfo name="Cost-style 2"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2F6CB7F-5DFA-4ADE-A9FE-C4E38397158A}">
  <we:reference id="wa200004179" version="2026.1.0.0" store="en-US" storeType="OMEX"/>
  <we:alternateReferences>
    <we:reference id="wa200004179" version="2026.1.0.0" store="wa20000417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_xldudf_ARCGIS_REVERSEGEOCODE</we:customFunctionIds>
        <we:customFunctionIds>_xldudf_ARCGIS_GEOCODE</we:customFunctionIds>
        <we:customFunctionIds>_xldudf_ARCGIS_ENRICHBYPOINT</we:customFunctionIds>
        <we:customFunctionIds>_xldudf_ARCGIS_ENRICHBYGEOGRAPHY</we:customFunctionIds>
        <we:customFunctionIds>_xldudf_ARCGIS_ENRICHBYADDRESS</we:customFunctionIds>
        <we:customFunctionIds>_xldudf_ARCGIS_ENRICHBYPOLYGON</we:customFunctionIds>
        <we:customFunctionIds>_xldudf_ARCGIS_FINDROUTEBYCOORDINATES</we:customFunctionIds>
        <we:customFunctionIds>_xldudf_ARCGIS_FINDROUTEBYADDRESS</we:customFunctionIds>
        <we:customFunctionIds>_xldudf_ARCGIS_VERTICESTOESRIJSON</we:customFunctionIds>
        <we:customFunctionIds>_xldudf_ARCGIS_CONVERTTOESRIJSON</we:customFunctionIds>
        <we:customFunctionIds>_xldudf_ARCGIS_GETPOLYGONAREA</we:customFunctionIds>
        <we:customFunctionIds>_xldudf_ARCGIS_GETGEOMETRYLENGTH</we:customFunctionIds>
        <we:customFunctionIds>_xldudf_ARCGIS_GETGEOMETRYDISTANCE</we:customFunctionIds>
        <we:customFunctionIds>_xldudf_ARCGIS_GETCENTROID</we:customFunctionIds>
        <we:customFunctionIds>_xldudf_ARCGIS_RELATEGEOMETRIES</we:customFunctionIds>
        <we:customFunctionIds>_xldudf_ARCGIS_GENERALIZEGEOMETRY</we:customFunctionIds>
        <we:customFunctionIds>_xldudf_ARCGIS_SUGGESTADDRESS</we:customFunctionIds>
        <we:customFunctionIds>_xldudf_ARCGIS_GETGEOMETRY</we:customFunctionIds>
        <we:customFunctionIds>_xldudf_ARCGIS_LISTGEOGRAPHIES</we:customFunctionIds>
        <we:customFunctionIds>_xldudf_ARCGIS_LISTDATACOLLECTIONS</we:customFunctionIds>
        <we:customFunctionIds>_xldudf_ARCGIS_LISTTRAVELMODES</we:customFunctionIds>
        <we:customFunctionIds>_xldudf_ARCGIS_ADDHEADERS</we:customFunctionIds>
      </we:customFunctionIdList>
    </a:ext>
    <a:ext xmlns:a="http://schemas.openxmlformats.org/drawingml/2006/main" uri="{0858819E-0033-43BF-8937-05EC82904868}">
      <we:backgroundApp state="1" runtimeId="Esri.TaskPane.Url"/>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opLeftCell="J7" zoomScale="85" zoomScaleNormal="85" workbookViewId="0">
      <selection activeCell="K7" sqref="K7:K18"/>
    </sheetView>
  </sheetViews>
  <sheetFormatPr defaultColWidth="11.19921875" defaultRowHeight="15" customHeight="1" x14ac:dyDescent="0.3"/>
  <cols>
    <col min="1" max="1" width="11.19921875" customWidth="1"/>
    <col min="2" max="2" width="26.19921875" customWidth="1"/>
    <col min="3" max="3" width="45.296875" customWidth="1"/>
    <col min="4" max="4" width="14.19921875" customWidth="1"/>
    <col min="5" max="5" width="53.296875" customWidth="1"/>
    <col min="6" max="6" width="11.19921875" hidden="1" customWidth="1"/>
    <col min="7" max="7" width="40.3984375" hidden="1" customWidth="1"/>
    <col min="8" max="8" width="29.3984375" customWidth="1"/>
    <col min="11" max="11" width="38.09765625" customWidth="1"/>
  </cols>
  <sheetData>
    <row r="1" spans="1:26" ht="36" x14ac:dyDescent="0.35">
      <c r="A1" s="1" t="s">
        <v>0</v>
      </c>
      <c r="B1" s="1" t="s">
        <v>1</v>
      </c>
      <c r="C1" s="1" t="s">
        <v>2</v>
      </c>
      <c r="D1" s="1" t="s">
        <v>3</v>
      </c>
      <c r="E1" s="1" t="s">
        <v>4</v>
      </c>
      <c r="F1" s="1" t="s">
        <v>5</v>
      </c>
      <c r="G1" s="1" t="s">
        <v>6</v>
      </c>
      <c r="H1" s="2" t="s">
        <v>7</v>
      </c>
      <c r="I1" s="3"/>
      <c r="J1" s="3"/>
      <c r="K1" s="3"/>
      <c r="L1" s="3"/>
      <c r="M1" s="3"/>
      <c r="N1" s="3"/>
      <c r="O1" s="3"/>
      <c r="P1" s="3"/>
      <c r="Q1" s="3"/>
      <c r="R1" s="3"/>
      <c r="S1" s="3"/>
      <c r="T1" s="3"/>
      <c r="U1" s="3"/>
      <c r="V1" s="3"/>
      <c r="W1" s="3"/>
      <c r="X1" s="3"/>
      <c r="Y1" s="3"/>
      <c r="Z1" s="3"/>
    </row>
    <row r="2" spans="1:26" ht="18" x14ac:dyDescent="0.35">
      <c r="A2" s="100" t="s">
        <v>8</v>
      </c>
      <c r="B2" s="96"/>
      <c r="C2" s="96"/>
      <c r="D2" s="96"/>
      <c r="E2" s="96"/>
      <c r="F2" s="96"/>
      <c r="G2" s="97"/>
      <c r="H2" s="4"/>
      <c r="I2" s="3"/>
      <c r="J2" s="3"/>
      <c r="K2" s="3"/>
      <c r="L2" s="3"/>
      <c r="M2" s="3"/>
      <c r="N2" s="3"/>
      <c r="O2" s="3"/>
      <c r="P2" s="3"/>
      <c r="Q2" s="3"/>
      <c r="R2" s="3"/>
      <c r="S2" s="3"/>
      <c r="T2" s="3"/>
      <c r="U2" s="3"/>
      <c r="V2" s="3"/>
      <c r="W2" s="3"/>
      <c r="X2" s="3"/>
      <c r="Y2" s="3"/>
      <c r="Z2" s="3"/>
    </row>
    <row r="3" spans="1:26" ht="18" x14ac:dyDescent="0.35">
      <c r="A3" s="92">
        <v>1</v>
      </c>
      <c r="B3" s="92" t="s">
        <v>9</v>
      </c>
      <c r="C3" s="92" t="s">
        <v>10</v>
      </c>
      <c r="D3" s="92" t="s">
        <v>11</v>
      </c>
      <c r="E3" s="1" t="s">
        <v>12</v>
      </c>
      <c r="F3" s="1" t="s">
        <v>13</v>
      </c>
      <c r="G3" s="5">
        <v>300</v>
      </c>
      <c r="H3" s="92">
        <v>750</v>
      </c>
      <c r="I3" s="3"/>
      <c r="J3" s="3"/>
      <c r="K3" s="3"/>
      <c r="L3" s="3"/>
      <c r="M3" s="3"/>
      <c r="N3" s="3"/>
      <c r="O3" s="3"/>
      <c r="P3" s="3"/>
      <c r="Q3" s="3"/>
      <c r="R3" s="3"/>
      <c r="S3" s="3"/>
      <c r="T3" s="3"/>
      <c r="U3" s="3"/>
      <c r="V3" s="3"/>
      <c r="W3" s="3"/>
      <c r="X3" s="3"/>
      <c r="Y3" s="3"/>
      <c r="Z3" s="3"/>
    </row>
    <row r="4" spans="1:26" ht="18" x14ac:dyDescent="0.35">
      <c r="A4" s="94"/>
      <c r="B4" s="94"/>
      <c r="C4" s="93"/>
      <c r="D4" s="94"/>
      <c r="E4" s="1" t="s">
        <v>14</v>
      </c>
      <c r="F4" s="1" t="s">
        <v>15</v>
      </c>
      <c r="G4" s="5">
        <v>450</v>
      </c>
      <c r="H4" s="94"/>
      <c r="I4" s="3"/>
      <c r="J4" s="3"/>
      <c r="K4" s="3"/>
      <c r="L4" s="3"/>
      <c r="M4" s="3"/>
      <c r="N4" s="3"/>
      <c r="O4" s="3"/>
      <c r="P4" s="3"/>
      <c r="Q4" s="3"/>
      <c r="R4" s="3"/>
      <c r="S4" s="3"/>
      <c r="T4" s="3"/>
      <c r="U4" s="3"/>
      <c r="V4" s="3"/>
      <c r="W4" s="3"/>
      <c r="X4" s="3"/>
      <c r="Y4" s="3"/>
      <c r="Z4" s="3"/>
    </row>
    <row r="5" spans="1:26" ht="18" x14ac:dyDescent="0.35">
      <c r="A5" s="92">
        <v>2</v>
      </c>
      <c r="B5" s="92" t="s">
        <v>16</v>
      </c>
      <c r="C5" s="93"/>
      <c r="D5" s="92" t="s">
        <v>17</v>
      </c>
      <c r="E5" s="1" t="s">
        <v>18</v>
      </c>
      <c r="F5" s="1" t="s">
        <v>19</v>
      </c>
      <c r="G5" s="5">
        <v>101</v>
      </c>
      <c r="H5" s="92">
        <v>977</v>
      </c>
      <c r="I5" s="3"/>
      <c r="J5" s="3"/>
      <c r="K5" s="3"/>
      <c r="L5" s="3"/>
      <c r="M5" s="3"/>
      <c r="N5" s="3"/>
      <c r="O5" s="3"/>
      <c r="P5" s="3"/>
      <c r="Q5" s="3"/>
      <c r="R5" s="3"/>
      <c r="S5" s="3"/>
      <c r="T5" s="3"/>
      <c r="U5" s="3"/>
      <c r="V5" s="3"/>
      <c r="W5" s="3"/>
      <c r="X5" s="3"/>
      <c r="Y5" s="3"/>
      <c r="Z5" s="3"/>
    </row>
    <row r="6" spans="1:26" ht="18" x14ac:dyDescent="0.35">
      <c r="A6" s="93"/>
      <c r="B6" s="93"/>
      <c r="C6" s="93"/>
      <c r="D6" s="93"/>
      <c r="E6" s="1" t="s">
        <v>20</v>
      </c>
      <c r="F6" s="1" t="s">
        <v>21</v>
      </c>
      <c r="G6" s="6">
        <v>439</v>
      </c>
      <c r="H6" s="93"/>
      <c r="I6" s="3"/>
      <c r="J6" s="3"/>
      <c r="K6" s="3"/>
      <c r="L6" s="3"/>
      <c r="M6" s="3"/>
      <c r="N6" s="3"/>
      <c r="O6" s="3"/>
      <c r="P6" s="3"/>
      <c r="Q6" s="3"/>
      <c r="R6" s="3"/>
      <c r="S6" s="3"/>
      <c r="T6" s="3"/>
      <c r="U6" s="3"/>
      <c r="V6" s="3"/>
      <c r="W6" s="3"/>
      <c r="X6" s="3"/>
      <c r="Y6" s="3"/>
      <c r="Z6" s="3"/>
    </row>
    <row r="7" spans="1:26" ht="18" x14ac:dyDescent="0.35">
      <c r="A7" s="93"/>
      <c r="B7" s="93"/>
      <c r="C7" s="93"/>
      <c r="D7" s="93"/>
      <c r="E7" s="1" t="s">
        <v>22</v>
      </c>
      <c r="F7" s="1" t="s">
        <v>23</v>
      </c>
      <c r="G7" s="6">
        <v>275</v>
      </c>
      <c r="H7" s="93"/>
      <c r="I7" s="3"/>
      <c r="J7" s="3"/>
      <c r="K7" s="7" t="s">
        <v>24</v>
      </c>
      <c r="L7" s="3"/>
      <c r="M7" s="3"/>
      <c r="N7" s="3"/>
      <c r="O7" s="3"/>
      <c r="P7" s="3"/>
      <c r="Q7" s="3"/>
      <c r="R7" s="3"/>
      <c r="S7" s="3"/>
      <c r="T7" s="3"/>
      <c r="U7" s="3"/>
      <c r="V7" s="3"/>
      <c r="W7" s="3"/>
      <c r="X7" s="3"/>
      <c r="Y7" s="3"/>
      <c r="Z7" s="3"/>
    </row>
    <row r="8" spans="1:26" ht="18" x14ac:dyDescent="0.35">
      <c r="A8" s="94"/>
      <c r="B8" s="94"/>
      <c r="C8" s="94"/>
      <c r="D8" s="94"/>
      <c r="E8" s="1" t="s">
        <v>25</v>
      </c>
      <c r="F8" s="1" t="s">
        <v>26</v>
      </c>
      <c r="G8" s="6">
        <v>162</v>
      </c>
      <c r="H8" s="94"/>
      <c r="I8" s="3"/>
      <c r="J8" s="3"/>
      <c r="K8" s="1" t="s">
        <v>12</v>
      </c>
      <c r="L8" s="3"/>
      <c r="M8" s="3"/>
      <c r="N8" s="3"/>
      <c r="O8" s="3"/>
      <c r="P8" s="3"/>
      <c r="Q8" s="3"/>
      <c r="R8" s="3"/>
      <c r="S8" s="3"/>
      <c r="T8" s="3"/>
      <c r="U8" s="3"/>
      <c r="V8" s="3"/>
      <c r="W8" s="3"/>
      <c r="X8" s="3"/>
      <c r="Y8" s="3"/>
      <c r="Z8" s="3"/>
    </row>
    <row r="9" spans="1:26" ht="18" x14ac:dyDescent="0.35">
      <c r="A9" s="92">
        <v>3</v>
      </c>
      <c r="B9" s="92" t="s">
        <v>27</v>
      </c>
      <c r="C9" s="92" t="s">
        <v>28</v>
      </c>
      <c r="D9" s="92" t="s">
        <v>29</v>
      </c>
      <c r="E9" s="1" t="s">
        <v>30</v>
      </c>
      <c r="F9" s="1" t="s">
        <v>31</v>
      </c>
      <c r="G9" s="6">
        <v>130</v>
      </c>
      <c r="H9" s="92">
        <v>800</v>
      </c>
      <c r="I9" s="3"/>
      <c r="J9" s="3"/>
      <c r="K9" s="3" t="s">
        <v>32</v>
      </c>
      <c r="L9" s="3"/>
      <c r="M9" s="3"/>
      <c r="N9" s="3"/>
      <c r="O9" s="3"/>
      <c r="P9" s="3"/>
      <c r="Q9" s="3"/>
      <c r="R9" s="3"/>
      <c r="S9" s="3"/>
      <c r="T9" s="3"/>
      <c r="U9" s="3"/>
      <c r="V9" s="3"/>
      <c r="W9" s="3"/>
      <c r="X9" s="3"/>
      <c r="Y9" s="3"/>
      <c r="Z9" s="3"/>
    </row>
    <row r="10" spans="1:26" ht="18" x14ac:dyDescent="0.35">
      <c r="A10" s="93"/>
      <c r="B10" s="93"/>
      <c r="C10" s="93"/>
      <c r="D10" s="93"/>
      <c r="E10" s="1" t="s">
        <v>33</v>
      </c>
      <c r="F10" s="1" t="s">
        <v>34</v>
      </c>
      <c r="G10" s="6">
        <v>100</v>
      </c>
      <c r="H10" s="93"/>
      <c r="I10" s="3"/>
      <c r="J10" s="3"/>
      <c r="K10" s="3" t="s">
        <v>35</v>
      </c>
      <c r="L10" s="3"/>
      <c r="M10" s="3"/>
      <c r="N10" s="3"/>
      <c r="O10" s="3"/>
      <c r="P10" s="3"/>
      <c r="Q10" s="3"/>
      <c r="R10" s="3"/>
      <c r="S10" s="3"/>
      <c r="T10" s="3"/>
      <c r="U10" s="3"/>
      <c r="V10" s="3"/>
      <c r="W10" s="3"/>
      <c r="X10" s="3"/>
      <c r="Y10" s="3"/>
      <c r="Z10" s="3"/>
    </row>
    <row r="11" spans="1:26" ht="18" x14ac:dyDescent="0.35">
      <c r="A11" s="93"/>
      <c r="B11" s="93"/>
      <c r="C11" s="93"/>
      <c r="D11" s="93"/>
      <c r="E11" s="1" t="s">
        <v>36</v>
      </c>
      <c r="F11" s="1" t="s">
        <v>37</v>
      </c>
      <c r="G11" s="6">
        <v>160</v>
      </c>
      <c r="H11" s="93"/>
      <c r="I11" s="3"/>
      <c r="J11" s="3"/>
      <c r="K11" s="1" t="s">
        <v>38</v>
      </c>
      <c r="L11" s="3"/>
      <c r="M11" s="3"/>
      <c r="N11" s="3"/>
      <c r="O11" s="3"/>
      <c r="P11" s="3"/>
      <c r="Q11" s="3"/>
      <c r="R11" s="3"/>
      <c r="S11" s="3"/>
      <c r="T11" s="3"/>
      <c r="U11" s="3"/>
      <c r="V11" s="3"/>
      <c r="W11" s="3"/>
      <c r="X11" s="3"/>
      <c r="Y11" s="3"/>
      <c r="Z11" s="3"/>
    </row>
    <row r="12" spans="1:26" ht="18" x14ac:dyDescent="0.35">
      <c r="A12" s="93"/>
      <c r="B12" s="93"/>
      <c r="C12" s="93"/>
      <c r="D12" s="93"/>
      <c r="E12" s="1" t="s">
        <v>39</v>
      </c>
      <c r="F12" s="1" t="s">
        <v>40</v>
      </c>
      <c r="G12" s="6">
        <v>60</v>
      </c>
      <c r="H12" s="93"/>
      <c r="I12" s="3"/>
      <c r="J12" s="3"/>
      <c r="K12" s="1" t="s">
        <v>41</v>
      </c>
      <c r="L12" s="3"/>
      <c r="M12" s="3"/>
      <c r="N12" s="3"/>
      <c r="O12" s="3"/>
      <c r="P12" s="3"/>
      <c r="Q12" s="3"/>
      <c r="R12" s="3"/>
      <c r="S12" s="3"/>
      <c r="T12" s="3"/>
      <c r="U12" s="3"/>
      <c r="V12" s="3"/>
      <c r="W12" s="3"/>
      <c r="X12" s="3"/>
      <c r="Y12" s="3"/>
      <c r="Z12" s="3"/>
    </row>
    <row r="13" spans="1:26" ht="18" x14ac:dyDescent="0.35">
      <c r="A13" s="93"/>
      <c r="B13" s="93"/>
      <c r="C13" s="93"/>
      <c r="D13" s="93"/>
      <c r="E13" s="1" t="s">
        <v>42</v>
      </c>
      <c r="F13" s="1" t="s">
        <v>43</v>
      </c>
      <c r="G13" s="6">
        <v>270</v>
      </c>
      <c r="H13" s="93"/>
      <c r="I13" s="3"/>
      <c r="J13" s="3"/>
      <c r="K13" s="1" t="s">
        <v>44</v>
      </c>
      <c r="L13" s="3"/>
      <c r="M13" s="3"/>
      <c r="N13" s="3"/>
      <c r="O13" s="3"/>
      <c r="P13" s="3"/>
      <c r="Q13" s="3"/>
      <c r="R13" s="3"/>
      <c r="S13" s="3"/>
      <c r="T13" s="3"/>
      <c r="U13" s="3"/>
      <c r="V13" s="3"/>
      <c r="W13" s="3"/>
      <c r="X13" s="3"/>
      <c r="Y13" s="3"/>
      <c r="Z13" s="3"/>
    </row>
    <row r="14" spans="1:26" ht="18" x14ac:dyDescent="0.35">
      <c r="A14" s="94"/>
      <c r="B14" s="94"/>
      <c r="C14" s="94"/>
      <c r="D14" s="94"/>
      <c r="E14" s="1" t="s">
        <v>45</v>
      </c>
      <c r="F14" s="1" t="s">
        <v>46</v>
      </c>
      <c r="G14" s="6">
        <v>80</v>
      </c>
      <c r="H14" s="94"/>
      <c r="I14" s="3"/>
      <c r="J14" s="3"/>
      <c r="K14" s="3" t="s">
        <v>199</v>
      </c>
      <c r="L14" s="3"/>
      <c r="M14" s="3"/>
      <c r="N14" s="3"/>
      <c r="O14" s="3"/>
      <c r="P14" s="3"/>
      <c r="Q14" s="3"/>
      <c r="R14" s="3"/>
      <c r="S14" s="3"/>
      <c r="T14" s="3"/>
      <c r="U14" s="3"/>
      <c r="V14" s="3"/>
      <c r="W14" s="3"/>
      <c r="X14" s="3"/>
      <c r="Y14" s="3"/>
      <c r="Z14" s="3"/>
    </row>
    <row r="15" spans="1:26" ht="18" x14ac:dyDescent="0.35">
      <c r="A15" s="98" t="s">
        <v>47</v>
      </c>
      <c r="B15" s="96"/>
      <c r="C15" s="96"/>
      <c r="D15" s="96"/>
      <c r="E15" s="96"/>
      <c r="F15" s="96"/>
      <c r="G15" s="97"/>
      <c r="H15" s="8"/>
      <c r="I15" s="3"/>
      <c r="J15" s="3"/>
      <c r="K15" s="3" t="s">
        <v>200</v>
      </c>
      <c r="L15" s="3"/>
      <c r="M15" s="3"/>
      <c r="N15" s="3"/>
      <c r="O15" s="3"/>
      <c r="P15" s="3"/>
      <c r="Q15" s="3"/>
      <c r="R15" s="3"/>
      <c r="S15" s="3"/>
      <c r="T15" s="3"/>
      <c r="U15" s="3"/>
      <c r="V15" s="3"/>
      <c r="W15" s="3"/>
      <c r="X15" s="3"/>
      <c r="Y15" s="3"/>
      <c r="Z15" s="3"/>
    </row>
    <row r="16" spans="1:26" ht="18" x14ac:dyDescent="0.35">
      <c r="A16" s="92">
        <v>1</v>
      </c>
      <c r="B16" s="92" t="s">
        <v>9</v>
      </c>
      <c r="C16" s="92" t="s">
        <v>48</v>
      </c>
      <c r="D16" s="92" t="s">
        <v>49</v>
      </c>
      <c r="E16" s="1" t="s">
        <v>38</v>
      </c>
      <c r="F16" s="1" t="s">
        <v>50</v>
      </c>
      <c r="G16" s="6">
        <v>250</v>
      </c>
      <c r="H16" s="92">
        <v>530</v>
      </c>
      <c r="I16" s="3"/>
      <c r="J16" s="3"/>
      <c r="K16" s="3" t="s">
        <v>201</v>
      </c>
      <c r="L16" s="3"/>
      <c r="M16" s="3"/>
      <c r="N16" s="3"/>
      <c r="O16" s="3"/>
      <c r="P16" s="3"/>
      <c r="Q16" s="3"/>
      <c r="R16" s="3"/>
      <c r="S16" s="3"/>
      <c r="T16" s="3"/>
      <c r="U16" s="3"/>
      <c r="V16" s="3"/>
      <c r="W16" s="3"/>
      <c r="X16" s="3"/>
      <c r="Y16" s="3"/>
      <c r="Z16" s="3"/>
    </row>
    <row r="17" spans="1:26" ht="18" x14ac:dyDescent="0.35">
      <c r="A17" s="93"/>
      <c r="B17" s="93"/>
      <c r="C17" s="93"/>
      <c r="D17" s="93"/>
      <c r="E17" s="1" t="s">
        <v>51</v>
      </c>
      <c r="F17" s="1" t="s">
        <v>52</v>
      </c>
      <c r="G17" s="6">
        <v>160</v>
      </c>
      <c r="H17" s="93"/>
      <c r="I17" s="3"/>
      <c r="J17" s="3"/>
      <c r="K17" s="1" t="s">
        <v>53</v>
      </c>
      <c r="L17" s="3"/>
      <c r="M17" s="3"/>
      <c r="N17" s="3"/>
      <c r="O17" s="3"/>
      <c r="P17" s="3"/>
      <c r="Q17" s="3"/>
      <c r="R17" s="3"/>
      <c r="S17" s="3"/>
      <c r="T17" s="3"/>
      <c r="U17" s="3"/>
      <c r="V17" s="3"/>
      <c r="W17" s="3"/>
      <c r="X17" s="3"/>
      <c r="Y17" s="3"/>
      <c r="Z17" s="3"/>
    </row>
    <row r="18" spans="1:26" ht="18" x14ac:dyDescent="0.35">
      <c r="A18" s="93"/>
      <c r="B18" s="93"/>
      <c r="C18" s="94"/>
      <c r="D18" s="94"/>
      <c r="E18" s="1" t="s">
        <v>54</v>
      </c>
      <c r="F18" s="1" t="s">
        <v>55</v>
      </c>
      <c r="G18" s="6">
        <v>120</v>
      </c>
      <c r="H18" s="94"/>
      <c r="I18" s="3"/>
      <c r="J18" s="3"/>
      <c r="K18" s="1" t="s">
        <v>56</v>
      </c>
      <c r="L18" s="3"/>
      <c r="M18" s="3"/>
      <c r="N18" s="3"/>
      <c r="O18" s="3"/>
      <c r="P18" s="3"/>
      <c r="Q18" s="3"/>
      <c r="R18" s="3"/>
      <c r="S18" s="3"/>
      <c r="T18" s="3"/>
      <c r="U18" s="3"/>
      <c r="V18" s="3"/>
      <c r="W18" s="3"/>
      <c r="X18" s="3"/>
      <c r="Y18" s="3"/>
      <c r="Z18" s="3"/>
    </row>
    <row r="19" spans="1:26" ht="18" x14ac:dyDescent="0.35">
      <c r="A19" s="93"/>
      <c r="B19" s="93"/>
      <c r="C19" s="92" t="s">
        <v>57</v>
      </c>
      <c r="D19" s="92" t="s">
        <v>58</v>
      </c>
      <c r="E19" s="1" t="s">
        <v>59</v>
      </c>
      <c r="F19" s="1" t="s">
        <v>60</v>
      </c>
      <c r="G19" s="6">
        <v>150</v>
      </c>
      <c r="H19" s="92">
        <v>285</v>
      </c>
      <c r="I19" s="3"/>
      <c r="J19" s="3"/>
      <c r="K19" s="3"/>
      <c r="L19" s="3"/>
      <c r="M19" s="3"/>
      <c r="N19" s="3"/>
      <c r="O19" s="3"/>
      <c r="P19" s="3"/>
      <c r="Q19" s="3"/>
      <c r="R19" s="3"/>
      <c r="S19" s="3"/>
      <c r="T19" s="3"/>
      <c r="U19" s="3"/>
      <c r="V19" s="3"/>
      <c r="W19" s="3"/>
      <c r="X19" s="3"/>
      <c r="Y19" s="3"/>
      <c r="Z19" s="3"/>
    </row>
    <row r="20" spans="1:26" ht="18" x14ac:dyDescent="0.35">
      <c r="A20" s="94"/>
      <c r="B20" s="94"/>
      <c r="C20" s="94"/>
      <c r="D20" s="94"/>
      <c r="E20" s="1" t="s">
        <v>41</v>
      </c>
      <c r="F20" s="1" t="s">
        <v>61</v>
      </c>
      <c r="G20" s="6">
        <v>135</v>
      </c>
      <c r="H20" s="94"/>
      <c r="I20" s="3"/>
      <c r="J20" s="3"/>
      <c r="K20" s="3"/>
      <c r="L20" s="3"/>
      <c r="M20" s="3"/>
      <c r="N20" s="3"/>
      <c r="O20" s="3"/>
      <c r="P20" s="3"/>
      <c r="Q20" s="3"/>
      <c r="R20" s="3"/>
      <c r="S20" s="3"/>
      <c r="T20" s="3"/>
      <c r="U20" s="3"/>
      <c r="V20" s="3"/>
      <c r="W20" s="3"/>
      <c r="X20" s="3"/>
      <c r="Y20" s="3"/>
      <c r="Z20" s="3"/>
    </row>
    <row r="21" spans="1:26" ht="15.75" customHeight="1" x14ac:dyDescent="0.35">
      <c r="A21" s="6">
        <v>2</v>
      </c>
      <c r="B21" s="1" t="s">
        <v>62</v>
      </c>
      <c r="C21" s="1" t="s">
        <v>48</v>
      </c>
      <c r="D21" s="1" t="s">
        <v>63</v>
      </c>
      <c r="E21" s="1" t="s">
        <v>44</v>
      </c>
      <c r="F21" s="1" t="s">
        <v>64</v>
      </c>
      <c r="G21" s="6">
        <v>280</v>
      </c>
      <c r="H21" s="9">
        <v>280</v>
      </c>
      <c r="I21" s="3"/>
      <c r="J21" s="3"/>
      <c r="K21" s="3"/>
      <c r="L21" s="3"/>
      <c r="M21" s="3"/>
      <c r="N21" s="3"/>
      <c r="O21" s="3"/>
      <c r="P21" s="3"/>
      <c r="Q21" s="3"/>
      <c r="R21" s="3"/>
      <c r="S21" s="3"/>
      <c r="T21" s="3"/>
      <c r="U21" s="3"/>
      <c r="V21" s="3"/>
      <c r="W21" s="3"/>
      <c r="X21" s="3"/>
      <c r="Y21" s="3"/>
      <c r="Z21" s="3"/>
    </row>
    <row r="22" spans="1:26" ht="15.75" customHeight="1" x14ac:dyDescent="0.35">
      <c r="A22" s="92">
        <v>3</v>
      </c>
      <c r="B22" s="92" t="s">
        <v>16</v>
      </c>
      <c r="C22" s="92" t="s">
        <v>65</v>
      </c>
      <c r="D22" s="92" t="s">
        <v>66</v>
      </c>
      <c r="E22" s="1" t="s">
        <v>67</v>
      </c>
      <c r="F22" s="1" t="s">
        <v>68</v>
      </c>
      <c r="G22" s="6">
        <v>180</v>
      </c>
      <c r="H22" s="92">
        <v>815</v>
      </c>
      <c r="I22" s="3"/>
      <c r="J22" s="3"/>
      <c r="K22" s="3"/>
      <c r="L22" s="3"/>
      <c r="M22" s="3"/>
      <c r="N22" s="3"/>
      <c r="O22" s="3"/>
      <c r="P22" s="3"/>
      <c r="Q22" s="3"/>
      <c r="R22" s="3"/>
      <c r="S22" s="3"/>
      <c r="T22" s="3"/>
      <c r="U22" s="3"/>
      <c r="V22" s="3"/>
      <c r="W22" s="3"/>
      <c r="X22" s="3"/>
      <c r="Y22" s="3"/>
      <c r="Z22" s="3"/>
    </row>
    <row r="23" spans="1:26" ht="15.75" customHeight="1" x14ac:dyDescent="0.35">
      <c r="A23" s="93"/>
      <c r="B23" s="93"/>
      <c r="C23" s="93"/>
      <c r="D23" s="93"/>
      <c r="E23" s="1" t="s">
        <v>69</v>
      </c>
      <c r="F23" s="1" t="s">
        <v>70</v>
      </c>
      <c r="G23" s="6">
        <v>13</v>
      </c>
      <c r="H23" s="93"/>
      <c r="I23" s="3"/>
      <c r="J23" s="3"/>
      <c r="K23" s="3"/>
      <c r="L23" s="3"/>
      <c r="M23" s="3"/>
      <c r="N23" s="3"/>
      <c r="O23" s="3"/>
      <c r="P23" s="3"/>
      <c r="Q23" s="3"/>
      <c r="R23" s="3"/>
      <c r="S23" s="3"/>
      <c r="T23" s="3"/>
      <c r="U23" s="3"/>
      <c r="V23" s="3"/>
      <c r="W23" s="3"/>
      <c r="X23" s="3"/>
      <c r="Y23" s="3"/>
      <c r="Z23" s="3"/>
    </row>
    <row r="24" spans="1:26" ht="15.75" customHeight="1" x14ac:dyDescent="0.35">
      <c r="A24" s="93"/>
      <c r="B24" s="93"/>
      <c r="C24" s="93"/>
      <c r="D24" s="93"/>
      <c r="E24" s="1" t="s">
        <v>71</v>
      </c>
      <c r="F24" s="1" t="s">
        <v>72</v>
      </c>
      <c r="G24" s="6">
        <v>45</v>
      </c>
      <c r="H24" s="93"/>
      <c r="I24" s="3"/>
      <c r="J24" s="3"/>
      <c r="K24" s="3"/>
      <c r="L24" s="3"/>
      <c r="M24" s="3"/>
      <c r="N24" s="3"/>
      <c r="O24" s="3"/>
      <c r="P24" s="3"/>
      <c r="Q24" s="3"/>
      <c r="R24" s="3"/>
      <c r="S24" s="3"/>
      <c r="T24" s="3"/>
      <c r="U24" s="3"/>
      <c r="V24" s="3"/>
      <c r="W24" s="3"/>
      <c r="X24" s="3"/>
      <c r="Y24" s="3"/>
      <c r="Z24" s="3"/>
    </row>
    <row r="25" spans="1:26" ht="15.75" customHeight="1" x14ac:dyDescent="0.35">
      <c r="A25" s="93"/>
      <c r="B25" s="93"/>
      <c r="C25" s="93"/>
      <c r="D25" s="93"/>
      <c r="E25" s="1" t="s">
        <v>73</v>
      </c>
      <c r="F25" s="1" t="s">
        <v>74</v>
      </c>
      <c r="G25" s="6">
        <v>127</v>
      </c>
      <c r="H25" s="93"/>
      <c r="I25" s="3"/>
      <c r="J25" s="3"/>
      <c r="K25" s="3"/>
      <c r="L25" s="3"/>
      <c r="M25" s="3"/>
      <c r="N25" s="3"/>
      <c r="O25" s="3"/>
      <c r="P25" s="3"/>
      <c r="Q25" s="3"/>
      <c r="R25" s="3"/>
      <c r="S25" s="3"/>
      <c r="T25" s="3"/>
      <c r="U25" s="3"/>
      <c r="V25" s="3"/>
      <c r="W25" s="3"/>
      <c r="X25" s="3"/>
      <c r="Y25" s="3"/>
      <c r="Z25" s="3"/>
    </row>
    <row r="26" spans="1:26" ht="15.75" customHeight="1" x14ac:dyDescent="0.35">
      <c r="A26" s="93"/>
      <c r="B26" s="93"/>
      <c r="C26" s="93"/>
      <c r="D26" s="93"/>
      <c r="E26" s="1" t="s">
        <v>75</v>
      </c>
      <c r="F26" s="1" t="s">
        <v>76</v>
      </c>
      <c r="G26" s="6">
        <v>18</v>
      </c>
      <c r="H26" s="93"/>
      <c r="I26" s="3"/>
      <c r="J26" s="3"/>
      <c r="K26" s="3"/>
      <c r="L26" s="3"/>
      <c r="M26" s="3"/>
      <c r="N26" s="3"/>
      <c r="O26" s="3"/>
      <c r="P26" s="3"/>
      <c r="Q26" s="3"/>
      <c r="R26" s="3"/>
      <c r="S26" s="3"/>
      <c r="T26" s="3"/>
      <c r="U26" s="3"/>
      <c r="V26" s="3"/>
      <c r="W26" s="3"/>
      <c r="X26" s="3"/>
      <c r="Y26" s="3"/>
      <c r="Z26" s="3"/>
    </row>
    <row r="27" spans="1:26" ht="15.75" customHeight="1" x14ac:dyDescent="0.35">
      <c r="A27" s="93"/>
      <c r="B27" s="93"/>
      <c r="C27" s="93"/>
      <c r="D27" s="93"/>
      <c r="E27" s="1" t="s">
        <v>77</v>
      </c>
      <c r="F27" s="1" t="s">
        <v>78</v>
      </c>
      <c r="G27" s="6">
        <v>72</v>
      </c>
      <c r="H27" s="93"/>
      <c r="I27" s="3"/>
      <c r="J27" s="3"/>
      <c r="K27" s="3"/>
      <c r="L27" s="3"/>
      <c r="M27" s="3"/>
      <c r="N27" s="3"/>
      <c r="O27" s="3"/>
      <c r="P27" s="3"/>
      <c r="Q27" s="3"/>
      <c r="R27" s="3"/>
      <c r="S27" s="3"/>
      <c r="T27" s="3"/>
      <c r="U27" s="3"/>
      <c r="V27" s="3"/>
      <c r="W27" s="3"/>
      <c r="X27" s="3"/>
      <c r="Y27" s="3"/>
      <c r="Z27" s="3"/>
    </row>
    <row r="28" spans="1:26" ht="15.75" customHeight="1" x14ac:dyDescent="0.35">
      <c r="A28" s="93"/>
      <c r="B28" s="93"/>
      <c r="C28" s="94"/>
      <c r="D28" s="94"/>
      <c r="E28" s="1" t="s">
        <v>79</v>
      </c>
      <c r="F28" s="1" t="s">
        <v>80</v>
      </c>
      <c r="G28" s="6">
        <v>360</v>
      </c>
      <c r="H28" s="94"/>
      <c r="I28" s="3"/>
      <c r="J28" s="3"/>
      <c r="K28" s="3"/>
      <c r="L28" s="3"/>
      <c r="M28" s="3"/>
      <c r="N28" s="3"/>
      <c r="O28" s="3"/>
      <c r="P28" s="3"/>
      <c r="Q28" s="3"/>
      <c r="R28" s="3"/>
      <c r="S28" s="3"/>
      <c r="T28" s="3"/>
      <c r="U28" s="3"/>
      <c r="V28" s="3"/>
      <c r="W28" s="3"/>
      <c r="X28" s="3"/>
      <c r="Y28" s="3"/>
      <c r="Z28" s="3"/>
    </row>
    <row r="29" spans="1:26" ht="15.75" customHeight="1" x14ac:dyDescent="0.35">
      <c r="A29" s="93"/>
      <c r="B29" s="93"/>
      <c r="C29" s="92" t="s">
        <v>81</v>
      </c>
      <c r="D29" s="92" t="s">
        <v>82</v>
      </c>
      <c r="E29" s="1" t="s">
        <v>83</v>
      </c>
      <c r="F29" s="1" t="s">
        <v>84</v>
      </c>
      <c r="G29" s="6">
        <v>900</v>
      </c>
      <c r="H29" s="99">
        <v>3348</v>
      </c>
      <c r="I29" s="3"/>
      <c r="J29" s="3"/>
      <c r="K29" s="3"/>
      <c r="L29" s="3"/>
      <c r="M29" s="3"/>
      <c r="N29" s="3"/>
      <c r="O29" s="3"/>
      <c r="P29" s="3"/>
      <c r="Q29" s="3"/>
      <c r="R29" s="3"/>
      <c r="S29" s="3"/>
      <c r="T29" s="3"/>
      <c r="U29" s="3"/>
      <c r="V29" s="3"/>
      <c r="W29" s="3"/>
      <c r="X29" s="3"/>
      <c r="Y29" s="3"/>
      <c r="Z29" s="3"/>
    </row>
    <row r="30" spans="1:26" ht="15.75" customHeight="1" x14ac:dyDescent="0.35">
      <c r="A30" s="93"/>
      <c r="B30" s="93"/>
      <c r="C30" s="93"/>
      <c r="D30" s="93"/>
      <c r="E30" s="1" t="s">
        <v>85</v>
      </c>
      <c r="F30" s="1" t="s">
        <v>86</v>
      </c>
      <c r="G30" s="6">
        <v>720</v>
      </c>
      <c r="H30" s="93"/>
      <c r="I30" s="3"/>
      <c r="J30" s="3"/>
      <c r="K30" s="3"/>
      <c r="L30" s="3"/>
      <c r="M30" s="3"/>
      <c r="N30" s="3"/>
      <c r="O30" s="3"/>
      <c r="P30" s="3"/>
      <c r="Q30" s="3"/>
      <c r="R30" s="3"/>
      <c r="S30" s="3"/>
      <c r="T30" s="3"/>
      <c r="U30" s="3"/>
      <c r="V30" s="3"/>
      <c r="W30" s="3"/>
      <c r="X30" s="3"/>
      <c r="Y30" s="3"/>
      <c r="Z30" s="3"/>
    </row>
    <row r="31" spans="1:26" ht="15.75" customHeight="1" x14ac:dyDescent="0.35">
      <c r="A31" s="93"/>
      <c r="B31" s="93"/>
      <c r="C31" s="93"/>
      <c r="D31" s="93"/>
      <c r="E31" s="1" t="s">
        <v>87</v>
      </c>
      <c r="F31" s="1" t="s">
        <v>88</v>
      </c>
      <c r="G31" s="6">
        <v>360</v>
      </c>
      <c r="H31" s="93"/>
      <c r="I31" s="3"/>
      <c r="J31" s="3"/>
      <c r="K31" s="3"/>
      <c r="L31" s="3"/>
      <c r="M31" s="3"/>
      <c r="N31" s="3"/>
      <c r="O31" s="3"/>
      <c r="P31" s="3"/>
      <c r="Q31" s="3"/>
      <c r="R31" s="3"/>
      <c r="S31" s="3"/>
      <c r="T31" s="3"/>
      <c r="U31" s="3"/>
      <c r="V31" s="3"/>
      <c r="W31" s="3"/>
      <c r="X31" s="3"/>
      <c r="Y31" s="3"/>
      <c r="Z31" s="3"/>
    </row>
    <row r="32" spans="1:26" ht="15.75" customHeight="1" x14ac:dyDescent="0.35">
      <c r="A32" s="93"/>
      <c r="B32" s="93"/>
      <c r="C32" s="93"/>
      <c r="D32" s="93"/>
      <c r="E32" s="1" t="s">
        <v>89</v>
      </c>
      <c r="F32" s="1" t="s">
        <v>90</v>
      </c>
      <c r="G32" s="6">
        <v>270</v>
      </c>
      <c r="H32" s="93"/>
      <c r="I32" s="3"/>
      <c r="J32" s="3"/>
      <c r="K32" s="3"/>
      <c r="L32" s="3"/>
      <c r="M32" s="3"/>
      <c r="N32" s="3"/>
      <c r="O32" s="3"/>
      <c r="P32" s="3"/>
      <c r="Q32" s="3"/>
      <c r="R32" s="3"/>
      <c r="S32" s="3"/>
      <c r="T32" s="3"/>
      <c r="U32" s="3"/>
      <c r="V32" s="3"/>
      <c r="W32" s="3"/>
      <c r="X32" s="3"/>
      <c r="Y32" s="3"/>
      <c r="Z32" s="3"/>
    </row>
    <row r="33" spans="1:26" ht="15.75" customHeight="1" x14ac:dyDescent="0.35">
      <c r="A33" s="93"/>
      <c r="B33" s="93"/>
      <c r="C33" s="93"/>
      <c r="D33" s="93"/>
      <c r="E33" s="1" t="s">
        <v>91</v>
      </c>
      <c r="F33" s="1" t="s">
        <v>92</v>
      </c>
      <c r="G33" s="6">
        <v>360</v>
      </c>
      <c r="H33" s="93"/>
      <c r="I33" s="3"/>
      <c r="J33" s="3"/>
      <c r="K33" s="3"/>
      <c r="L33" s="3"/>
      <c r="M33" s="3"/>
      <c r="N33" s="3"/>
      <c r="O33" s="3"/>
      <c r="P33" s="3"/>
      <c r="Q33" s="3"/>
      <c r="R33" s="3"/>
      <c r="S33" s="3"/>
      <c r="T33" s="3"/>
      <c r="U33" s="3"/>
      <c r="V33" s="3"/>
      <c r="W33" s="3"/>
      <c r="X33" s="3"/>
      <c r="Y33" s="3"/>
      <c r="Z33" s="3"/>
    </row>
    <row r="34" spans="1:26" ht="15.75" customHeight="1" x14ac:dyDescent="0.35">
      <c r="A34" s="93"/>
      <c r="B34" s="93"/>
      <c r="C34" s="93"/>
      <c r="D34" s="93"/>
      <c r="E34" s="1" t="s">
        <v>93</v>
      </c>
      <c r="F34" s="1" t="s">
        <v>94</v>
      </c>
      <c r="G34" s="6">
        <v>540</v>
      </c>
      <c r="H34" s="93"/>
      <c r="I34" s="3"/>
      <c r="J34" s="3"/>
      <c r="K34" s="3"/>
      <c r="L34" s="3"/>
      <c r="M34" s="3"/>
      <c r="N34" s="3"/>
      <c r="O34" s="3"/>
      <c r="P34" s="3"/>
      <c r="Q34" s="3"/>
      <c r="R34" s="3"/>
      <c r="S34" s="3"/>
      <c r="T34" s="3"/>
      <c r="U34" s="3"/>
      <c r="V34" s="3"/>
      <c r="W34" s="3"/>
      <c r="X34" s="3"/>
      <c r="Y34" s="3"/>
      <c r="Z34" s="3"/>
    </row>
    <row r="35" spans="1:26" ht="15.75" customHeight="1" x14ac:dyDescent="0.35">
      <c r="A35" s="93"/>
      <c r="B35" s="93"/>
      <c r="C35" s="93"/>
      <c r="D35" s="93"/>
      <c r="E35" s="1" t="s">
        <v>95</v>
      </c>
      <c r="F35" s="1" t="s">
        <v>96</v>
      </c>
      <c r="G35" s="6">
        <v>90</v>
      </c>
      <c r="H35" s="93"/>
      <c r="I35" s="3"/>
      <c r="J35" s="3"/>
      <c r="K35" s="3"/>
      <c r="L35" s="3"/>
      <c r="M35" s="3"/>
      <c r="N35" s="3"/>
      <c r="O35" s="3"/>
      <c r="P35" s="3"/>
      <c r="Q35" s="3"/>
      <c r="R35" s="3"/>
      <c r="S35" s="3"/>
      <c r="T35" s="3"/>
      <c r="U35" s="3"/>
      <c r="V35" s="3"/>
      <c r="W35" s="3"/>
      <c r="X35" s="3"/>
      <c r="Y35" s="3"/>
      <c r="Z35" s="3"/>
    </row>
    <row r="36" spans="1:26" ht="15.75" customHeight="1" x14ac:dyDescent="0.35">
      <c r="A36" s="93"/>
      <c r="B36" s="93"/>
      <c r="C36" s="93"/>
      <c r="D36" s="93"/>
      <c r="E36" s="1" t="s">
        <v>97</v>
      </c>
      <c r="F36" s="1" t="s">
        <v>98</v>
      </c>
      <c r="G36" s="6">
        <v>54</v>
      </c>
      <c r="H36" s="93"/>
      <c r="I36" s="3"/>
      <c r="J36" s="3"/>
      <c r="K36" s="3"/>
      <c r="L36" s="3"/>
      <c r="M36" s="3"/>
      <c r="N36" s="3"/>
      <c r="O36" s="3"/>
      <c r="P36" s="3"/>
      <c r="Q36" s="3"/>
      <c r="R36" s="3"/>
      <c r="S36" s="3"/>
      <c r="T36" s="3"/>
      <c r="U36" s="3"/>
      <c r="V36" s="3"/>
      <c r="W36" s="3"/>
      <c r="X36" s="3"/>
      <c r="Y36" s="3"/>
      <c r="Z36" s="3"/>
    </row>
    <row r="37" spans="1:26" ht="15.75" customHeight="1" x14ac:dyDescent="0.35">
      <c r="A37" s="93"/>
      <c r="B37" s="93"/>
      <c r="C37" s="94"/>
      <c r="D37" s="94"/>
      <c r="E37" s="1" t="s">
        <v>99</v>
      </c>
      <c r="F37" s="1" t="s">
        <v>100</v>
      </c>
      <c r="G37" s="6">
        <v>54</v>
      </c>
      <c r="H37" s="94"/>
      <c r="I37" s="3"/>
      <c r="J37" s="3"/>
      <c r="K37" s="3"/>
      <c r="L37" s="3"/>
      <c r="M37" s="3"/>
      <c r="N37" s="3"/>
      <c r="O37" s="3"/>
      <c r="P37" s="3"/>
      <c r="Q37" s="3"/>
      <c r="R37" s="3"/>
      <c r="S37" s="3"/>
      <c r="T37" s="3"/>
      <c r="U37" s="3"/>
      <c r="V37" s="3"/>
      <c r="W37" s="3"/>
      <c r="X37" s="3"/>
      <c r="Y37" s="3"/>
      <c r="Z37" s="3"/>
    </row>
    <row r="38" spans="1:26" ht="15.75" customHeight="1" x14ac:dyDescent="0.35">
      <c r="A38" s="93"/>
      <c r="B38" s="93"/>
      <c r="C38" s="92" t="s">
        <v>101</v>
      </c>
      <c r="D38" s="92" t="s">
        <v>102</v>
      </c>
      <c r="E38" s="1" t="s">
        <v>103</v>
      </c>
      <c r="F38" s="1" t="s">
        <v>104</v>
      </c>
      <c r="G38" s="6">
        <v>720</v>
      </c>
      <c r="H38" s="99">
        <v>1251</v>
      </c>
      <c r="I38" s="3"/>
      <c r="J38" s="3"/>
      <c r="K38" s="3"/>
      <c r="L38" s="3"/>
      <c r="M38" s="3"/>
      <c r="N38" s="3"/>
      <c r="O38" s="3"/>
      <c r="P38" s="3"/>
      <c r="Q38" s="3"/>
      <c r="R38" s="3"/>
      <c r="S38" s="3"/>
      <c r="T38" s="3"/>
      <c r="U38" s="3"/>
      <c r="V38" s="3"/>
      <c r="W38" s="3"/>
      <c r="X38" s="3"/>
      <c r="Y38" s="3"/>
      <c r="Z38" s="3"/>
    </row>
    <row r="39" spans="1:26" ht="15.75" customHeight="1" x14ac:dyDescent="0.35">
      <c r="A39" s="93"/>
      <c r="B39" s="93"/>
      <c r="C39" s="93"/>
      <c r="D39" s="93"/>
      <c r="E39" s="1" t="s">
        <v>105</v>
      </c>
      <c r="F39" s="1" t="s">
        <v>106</v>
      </c>
      <c r="G39" s="6">
        <v>72</v>
      </c>
      <c r="H39" s="93"/>
      <c r="I39" s="3"/>
      <c r="J39" s="3"/>
      <c r="K39" s="3"/>
      <c r="L39" s="3"/>
      <c r="M39" s="3"/>
      <c r="N39" s="3"/>
      <c r="O39" s="3"/>
      <c r="P39" s="3"/>
      <c r="Q39" s="3"/>
      <c r="R39" s="3"/>
      <c r="S39" s="3"/>
      <c r="T39" s="3"/>
      <c r="U39" s="3"/>
      <c r="V39" s="3"/>
      <c r="W39" s="3"/>
      <c r="X39" s="3"/>
      <c r="Y39" s="3"/>
      <c r="Z39" s="3"/>
    </row>
    <row r="40" spans="1:26" ht="15.75" customHeight="1" x14ac:dyDescent="0.35">
      <c r="A40" s="93"/>
      <c r="B40" s="93"/>
      <c r="C40" s="93"/>
      <c r="D40" s="93"/>
      <c r="E40" s="1" t="s">
        <v>107</v>
      </c>
      <c r="F40" s="1" t="s">
        <v>108</v>
      </c>
      <c r="G40" s="6">
        <v>180</v>
      </c>
      <c r="H40" s="93"/>
      <c r="I40" s="3"/>
      <c r="J40" s="3"/>
      <c r="K40" s="3"/>
      <c r="L40" s="3"/>
      <c r="M40" s="3"/>
      <c r="N40" s="3"/>
      <c r="O40" s="3"/>
      <c r="P40" s="3"/>
      <c r="Q40" s="3"/>
      <c r="R40" s="3"/>
      <c r="S40" s="3"/>
      <c r="T40" s="3"/>
      <c r="U40" s="3"/>
      <c r="V40" s="3"/>
      <c r="W40" s="3"/>
      <c r="X40" s="3"/>
      <c r="Y40" s="3"/>
      <c r="Z40" s="3"/>
    </row>
    <row r="41" spans="1:26" ht="15.75" customHeight="1" x14ac:dyDescent="0.35">
      <c r="A41" s="93"/>
      <c r="B41" s="93"/>
      <c r="C41" s="93"/>
      <c r="D41" s="93"/>
      <c r="E41" s="1" t="s">
        <v>109</v>
      </c>
      <c r="F41" s="1" t="s">
        <v>110</v>
      </c>
      <c r="G41" s="6">
        <v>135</v>
      </c>
      <c r="H41" s="93"/>
      <c r="I41" s="3"/>
      <c r="J41" s="3"/>
      <c r="K41" s="3"/>
      <c r="L41" s="3"/>
      <c r="M41" s="3"/>
      <c r="N41" s="3"/>
      <c r="O41" s="3"/>
      <c r="P41" s="3"/>
      <c r="Q41" s="3"/>
      <c r="R41" s="3"/>
      <c r="S41" s="3"/>
      <c r="T41" s="3"/>
      <c r="U41" s="3"/>
      <c r="V41" s="3"/>
      <c r="W41" s="3"/>
      <c r="X41" s="3"/>
      <c r="Y41" s="3"/>
      <c r="Z41" s="3"/>
    </row>
    <row r="42" spans="1:26" ht="15.75" customHeight="1" x14ac:dyDescent="0.35">
      <c r="A42" s="93"/>
      <c r="B42" s="93"/>
      <c r="C42" s="93"/>
      <c r="D42" s="93"/>
      <c r="E42" s="1" t="s">
        <v>111</v>
      </c>
      <c r="F42" s="1" t="s">
        <v>112</v>
      </c>
      <c r="G42" s="6">
        <v>27</v>
      </c>
      <c r="H42" s="93"/>
      <c r="I42" s="3"/>
      <c r="J42" s="3"/>
      <c r="K42" s="3"/>
      <c r="L42" s="3"/>
      <c r="M42" s="3"/>
      <c r="N42" s="3"/>
      <c r="O42" s="3"/>
      <c r="P42" s="3"/>
      <c r="Q42" s="3"/>
      <c r="R42" s="3"/>
      <c r="S42" s="3"/>
      <c r="T42" s="3"/>
      <c r="U42" s="3"/>
      <c r="V42" s="3"/>
      <c r="W42" s="3"/>
      <c r="X42" s="3"/>
      <c r="Y42" s="3"/>
      <c r="Z42" s="3"/>
    </row>
    <row r="43" spans="1:26" ht="15.75" customHeight="1" x14ac:dyDescent="0.35">
      <c r="A43" s="93"/>
      <c r="B43" s="93"/>
      <c r="C43" s="93"/>
      <c r="D43" s="93"/>
      <c r="E43" s="1" t="s">
        <v>113</v>
      </c>
      <c r="F43" s="1" t="s">
        <v>114</v>
      </c>
      <c r="G43" s="6">
        <v>45</v>
      </c>
      <c r="H43" s="93"/>
      <c r="I43" s="3"/>
      <c r="J43" s="3"/>
      <c r="K43" s="3"/>
      <c r="L43" s="3"/>
      <c r="M43" s="3"/>
      <c r="N43" s="3"/>
      <c r="O43" s="3"/>
      <c r="P43" s="3"/>
      <c r="Q43" s="3"/>
      <c r="R43" s="3"/>
      <c r="S43" s="3"/>
      <c r="T43" s="3"/>
      <c r="U43" s="3"/>
      <c r="V43" s="3"/>
      <c r="W43" s="3"/>
      <c r="X43" s="3"/>
      <c r="Y43" s="3"/>
      <c r="Z43" s="3"/>
    </row>
    <row r="44" spans="1:26" ht="15.75" customHeight="1" x14ac:dyDescent="0.35">
      <c r="A44" s="94"/>
      <c r="B44" s="94"/>
      <c r="C44" s="94"/>
      <c r="D44" s="94"/>
      <c r="E44" s="1" t="s">
        <v>115</v>
      </c>
      <c r="F44" s="1" t="s">
        <v>116</v>
      </c>
      <c r="G44" s="6">
        <v>72</v>
      </c>
      <c r="H44" s="94"/>
      <c r="I44" s="3"/>
      <c r="J44" s="3"/>
      <c r="K44" s="3"/>
      <c r="L44" s="3"/>
      <c r="M44" s="3"/>
      <c r="N44" s="3"/>
      <c r="O44" s="3"/>
      <c r="P44" s="3"/>
      <c r="Q44" s="3"/>
      <c r="R44" s="3"/>
      <c r="S44" s="3"/>
      <c r="T44" s="3"/>
      <c r="U44" s="3"/>
      <c r="V44" s="3"/>
      <c r="W44" s="3"/>
      <c r="X44" s="3"/>
      <c r="Y44" s="3"/>
      <c r="Z44" s="3"/>
    </row>
    <row r="45" spans="1:26" ht="15.75" customHeight="1" x14ac:dyDescent="0.35">
      <c r="A45" s="1"/>
      <c r="B45" s="95" t="s">
        <v>117</v>
      </c>
      <c r="C45" s="96"/>
      <c r="D45" s="96"/>
      <c r="E45" s="96"/>
      <c r="F45" s="97"/>
      <c r="G45" s="1"/>
      <c r="H45" s="10"/>
      <c r="I45" s="3"/>
      <c r="J45" s="3"/>
      <c r="K45" s="3"/>
      <c r="L45" s="3"/>
      <c r="M45" s="3"/>
      <c r="N45" s="3"/>
      <c r="O45" s="3"/>
      <c r="P45" s="3"/>
      <c r="Q45" s="3"/>
      <c r="R45" s="3"/>
      <c r="S45" s="3"/>
      <c r="T45" s="3"/>
      <c r="U45" s="3"/>
      <c r="V45" s="3"/>
      <c r="W45" s="3"/>
      <c r="X45" s="3"/>
      <c r="Y45" s="3"/>
      <c r="Z45" s="3"/>
    </row>
    <row r="46" spans="1:26" ht="15.75" customHeight="1" x14ac:dyDescent="0.35">
      <c r="A46" s="92">
        <v>4</v>
      </c>
      <c r="B46" s="92" t="s">
        <v>62</v>
      </c>
      <c r="C46" s="92" t="s">
        <v>118</v>
      </c>
      <c r="D46" s="92" t="s">
        <v>119</v>
      </c>
      <c r="E46" s="1" t="s">
        <v>120</v>
      </c>
      <c r="F46" s="1" t="s">
        <v>121</v>
      </c>
      <c r="G46" s="6">
        <v>94</v>
      </c>
      <c r="H46" s="92">
        <v>492</v>
      </c>
      <c r="I46" s="3"/>
      <c r="J46" s="3"/>
      <c r="K46" s="3"/>
      <c r="L46" s="3"/>
      <c r="M46" s="3"/>
      <c r="N46" s="3"/>
      <c r="O46" s="3"/>
      <c r="P46" s="3"/>
      <c r="Q46" s="3"/>
      <c r="R46" s="3"/>
      <c r="S46" s="3"/>
      <c r="T46" s="3"/>
      <c r="U46" s="3"/>
      <c r="V46" s="3"/>
      <c r="W46" s="3"/>
      <c r="X46" s="3"/>
      <c r="Y46" s="3"/>
      <c r="Z46" s="3"/>
    </row>
    <row r="47" spans="1:26" ht="15.75" customHeight="1" x14ac:dyDescent="0.35">
      <c r="A47" s="93"/>
      <c r="B47" s="93"/>
      <c r="C47" s="93"/>
      <c r="D47" s="93"/>
      <c r="E47" s="1" t="s">
        <v>56</v>
      </c>
      <c r="F47" s="1" t="s">
        <v>122</v>
      </c>
      <c r="G47" s="6">
        <v>200</v>
      </c>
      <c r="H47" s="93"/>
      <c r="I47" s="3"/>
      <c r="J47" s="3"/>
      <c r="K47" s="3"/>
      <c r="L47" s="3"/>
      <c r="M47" s="3"/>
      <c r="N47" s="3"/>
      <c r="O47" s="3"/>
      <c r="P47" s="3"/>
      <c r="Q47" s="3"/>
      <c r="R47" s="3"/>
      <c r="S47" s="3"/>
      <c r="T47" s="3"/>
      <c r="U47" s="3"/>
      <c r="V47" s="3"/>
      <c r="W47" s="3"/>
      <c r="X47" s="3"/>
      <c r="Y47" s="3"/>
      <c r="Z47" s="3"/>
    </row>
    <row r="48" spans="1:26" ht="15.75" customHeight="1" x14ac:dyDescent="0.35">
      <c r="A48" s="93"/>
      <c r="B48" s="93"/>
      <c r="C48" s="94"/>
      <c r="D48" s="94"/>
      <c r="E48" s="1" t="s">
        <v>123</v>
      </c>
      <c r="F48" s="1" t="s">
        <v>124</v>
      </c>
      <c r="G48" s="6">
        <v>198</v>
      </c>
      <c r="H48" s="94"/>
      <c r="I48" s="3"/>
      <c r="J48" s="3"/>
      <c r="K48" s="3"/>
      <c r="L48" s="3"/>
      <c r="M48" s="3"/>
      <c r="N48" s="3"/>
      <c r="O48" s="3"/>
      <c r="P48" s="3"/>
      <c r="Q48" s="3"/>
      <c r="R48" s="3"/>
      <c r="S48" s="3"/>
      <c r="T48" s="3"/>
      <c r="U48" s="3"/>
      <c r="V48" s="3"/>
      <c r="W48" s="3"/>
      <c r="X48" s="3"/>
      <c r="Y48" s="3"/>
      <c r="Z48" s="3"/>
    </row>
    <row r="49" spans="1:26" ht="15.75" customHeight="1" x14ac:dyDescent="0.35">
      <c r="A49" s="94"/>
      <c r="B49" s="94"/>
      <c r="C49" s="1" t="s">
        <v>125</v>
      </c>
      <c r="D49" s="1" t="s">
        <v>126</v>
      </c>
      <c r="E49" s="1" t="s">
        <v>53</v>
      </c>
      <c r="F49" s="1" t="s">
        <v>127</v>
      </c>
      <c r="G49" s="6">
        <v>5</v>
      </c>
      <c r="H49" s="9">
        <v>20</v>
      </c>
      <c r="I49" s="3"/>
      <c r="J49" s="3"/>
      <c r="K49" s="3"/>
      <c r="L49" s="3"/>
      <c r="M49" s="3"/>
      <c r="N49" s="3"/>
      <c r="O49" s="3"/>
      <c r="P49" s="3"/>
      <c r="Q49" s="3"/>
      <c r="R49" s="3"/>
      <c r="S49" s="3"/>
      <c r="T49" s="3"/>
      <c r="U49" s="3"/>
      <c r="V49" s="3"/>
      <c r="W49" s="3"/>
      <c r="X49" s="3"/>
      <c r="Y49" s="3"/>
      <c r="Z49" s="3"/>
    </row>
    <row r="50" spans="1:26" ht="15.75" customHeight="1" x14ac:dyDescent="0.3">
      <c r="A50" s="3"/>
      <c r="B50" s="3"/>
      <c r="C50" s="3"/>
      <c r="D50" s="3"/>
      <c r="E50" s="3"/>
      <c r="F50" s="3"/>
      <c r="G50" s="3"/>
      <c r="H50" s="11"/>
      <c r="I50" s="3"/>
      <c r="J50" s="3"/>
      <c r="K50" s="3"/>
      <c r="L50" s="3"/>
      <c r="M50" s="3"/>
      <c r="N50" s="3"/>
      <c r="O50" s="3"/>
      <c r="P50" s="3"/>
      <c r="Q50" s="3"/>
      <c r="R50" s="3"/>
      <c r="S50" s="3"/>
      <c r="T50" s="3"/>
      <c r="U50" s="3"/>
      <c r="V50" s="3"/>
      <c r="W50" s="3"/>
      <c r="X50" s="3"/>
      <c r="Y50" s="3"/>
      <c r="Z50" s="3"/>
    </row>
    <row r="51" spans="1:26" ht="15.75" customHeight="1" x14ac:dyDescent="0.3">
      <c r="A51" s="3"/>
      <c r="B51" s="3"/>
      <c r="C51" s="3"/>
      <c r="D51" s="3"/>
      <c r="E51" s="3"/>
      <c r="F51" s="3"/>
      <c r="G51" s="3"/>
      <c r="H51" s="11"/>
      <c r="I51" s="3"/>
      <c r="J51" s="3"/>
      <c r="K51" s="3"/>
      <c r="L51" s="3"/>
      <c r="M51" s="3"/>
      <c r="N51" s="3"/>
      <c r="O51" s="3"/>
      <c r="P51" s="3"/>
      <c r="Q51" s="3"/>
      <c r="R51" s="3"/>
      <c r="S51" s="3"/>
      <c r="T51" s="3"/>
      <c r="U51" s="3"/>
      <c r="V51" s="3"/>
      <c r="W51" s="3"/>
      <c r="X51" s="3"/>
      <c r="Y51" s="3"/>
      <c r="Z51" s="3"/>
    </row>
    <row r="52" spans="1:26" ht="15.75" customHeight="1" x14ac:dyDescent="0.3">
      <c r="A52" s="3"/>
      <c r="B52" s="3"/>
      <c r="C52" s="3"/>
      <c r="D52" s="3"/>
      <c r="E52" s="3"/>
      <c r="F52" s="3"/>
      <c r="G52" s="3"/>
      <c r="H52" s="11"/>
      <c r="I52" s="3"/>
      <c r="J52" s="3"/>
      <c r="K52" s="3"/>
      <c r="L52" s="3"/>
      <c r="M52" s="3"/>
      <c r="N52" s="3"/>
      <c r="O52" s="3"/>
      <c r="P52" s="3"/>
      <c r="Q52" s="3"/>
      <c r="R52" s="3"/>
      <c r="S52" s="3"/>
      <c r="T52" s="3"/>
      <c r="U52" s="3"/>
      <c r="V52" s="3"/>
      <c r="W52" s="3"/>
      <c r="X52" s="3"/>
      <c r="Y52" s="3"/>
      <c r="Z52" s="3"/>
    </row>
    <row r="53" spans="1:26" ht="15.75" customHeight="1" x14ac:dyDescent="0.3">
      <c r="A53" s="3"/>
      <c r="B53" s="3"/>
      <c r="C53" s="3"/>
      <c r="D53" s="3"/>
      <c r="E53" s="3"/>
      <c r="F53" s="3"/>
      <c r="G53" s="3"/>
      <c r="H53" s="11"/>
      <c r="I53" s="3"/>
      <c r="J53" s="3"/>
      <c r="K53" s="3"/>
      <c r="L53" s="3"/>
      <c r="M53" s="3"/>
      <c r="N53" s="3"/>
      <c r="O53" s="3"/>
      <c r="P53" s="3"/>
      <c r="Q53" s="3"/>
      <c r="R53" s="3"/>
      <c r="S53" s="3"/>
      <c r="T53" s="3"/>
      <c r="U53" s="3"/>
      <c r="V53" s="3"/>
      <c r="W53" s="3"/>
      <c r="X53" s="3"/>
      <c r="Y53" s="3"/>
      <c r="Z53" s="3"/>
    </row>
    <row r="54" spans="1:26" ht="15.75" customHeight="1" x14ac:dyDescent="0.3">
      <c r="A54" s="3"/>
      <c r="B54" s="3"/>
      <c r="C54" s="3"/>
      <c r="D54" s="3"/>
      <c r="E54" s="3"/>
      <c r="F54" s="3"/>
      <c r="G54" s="3"/>
      <c r="H54" s="11"/>
      <c r="I54" s="3"/>
      <c r="J54" s="3"/>
      <c r="K54" s="3"/>
      <c r="L54" s="3"/>
      <c r="M54" s="3"/>
      <c r="N54" s="3"/>
      <c r="O54" s="3"/>
      <c r="P54" s="3"/>
      <c r="Q54" s="3"/>
      <c r="R54" s="3"/>
      <c r="S54" s="3"/>
      <c r="T54" s="3"/>
      <c r="U54" s="3"/>
      <c r="V54" s="3"/>
      <c r="W54" s="3"/>
      <c r="X54" s="3"/>
      <c r="Y54" s="3"/>
      <c r="Z54" s="3"/>
    </row>
    <row r="55" spans="1:26" ht="67.5" customHeight="1" x14ac:dyDescent="0.3">
      <c r="A55" s="3"/>
      <c r="B55" s="3"/>
      <c r="C55" s="3"/>
      <c r="D55" s="3"/>
      <c r="E55" s="3"/>
      <c r="F55" s="3"/>
      <c r="G55" s="3"/>
      <c r="H55" s="11"/>
      <c r="I55" s="3"/>
      <c r="J55" s="3"/>
      <c r="K55" s="3"/>
      <c r="L55" s="3"/>
      <c r="M55" s="3"/>
      <c r="N55" s="3"/>
      <c r="O55" s="3"/>
      <c r="P55" s="3"/>
      <c r="Q55" s="3"/>
      <c r="R55" s="3"/>
      <c r="S55" s="3"/>
      <c r="T55" s="3"/>
      <c r="U55" s="3"/>
      <c r="V55" s="3"/>
      <c r="W55" s="3"/>
      <c r="X55" s="3"/>
      <c r="Y55" s="3"/>
      <c r="Z55" s="3"/>
    </row>
    <row r="56" spans="1:26" ht="15.75" customHeight="1" x14ac:dyDescent="0.3">
      <c r="A56" s="3"/>
      <c r="B56" s="3"/>
      <c r="C56" s="3"/>
      <c r="D56" s="3"/>
      <c r="E56" s="3"/>
      <c r="F56" s="3"/>
      <c r="G56" s="3"/>
      <c r="H56" s="11"/>
      <c r="I56" s="3"/>
      <c r="J56" s="3"/>
      <c r="K56" s="3"/>
      <c r="L56" s="3"/>
      <c r="M56" s="3"/>
      <c r="N56" s="3"/>
      <c r="O56" s="3"/>
      <c r="P56" s="3"/>
      <c r="Q56" s="3"/>
      <c r="R56" s="3"/>
      <c r="S56" s="3"/>
      <c r="T56" s="3"/>
      <c r="U56" s="3"/>
      <c r="V56" s="3"/>
      <c r="W56" s="3"/>
      <c r="X56" s="3"/>
      <c r="Y56" s="3"/>
      <c r="Z56" s="3"/>
    </row>
    <row r="57" spans="1:26" ht="15.75" customHeight="1" x14ac:dyDescent="0.3">
      <c r="A57" s="3"/>
      <c r="B57" s="3"/>
      <c r="C57" s="3"/>
      <c r="D57" s="3"/>
      <c r="E57" s="3"/>
      <c r="F57" s="3"/>
      <c r="G57" s="3"/>
      <c r="H57" s="11"/>
      <c r="I57" s="3"/>
      <c r="J57" s="3"/>
      <c r="K57" s="3"/>
      <c r="L57" s="3"/>
      <c r="M57" s="3"/>
      <c r="N57" s="3"/>
      <c r="O57" s="3"/>
      <c r="P57" s="3"/>
      <c r="Q57" s="3"/>
      <c r="R57" s="3"/>
      <c r="S57" s="3"/>
      <c r="T57" s="3"/>
      <c r="U57" s="3"/>
      <c r="V57" s="3"/>
      <c r="W57" s="3"/>
      <c r="X57" s="3"/>
      <c r="Y57" s="3"/>
      <c r="Z57" s="3"/>
    </row>
    <row r="58" spans="1:26" ht="15.75" customHeight="1" x14ac:dyDescent="0.3">
      <c r="A58" s="3"/>
      <c r="B58" s="3"/>
      <c r="C58" s="3"/>
      <c r="D58" s="3"/>
      <c r="E58" s="3"/>
      <c r="F58" s="3"/>
      <c r="G58" s="3"/>
      <c r="H58" s="11"/>
      <c r="I58" s="3"/>
      <c r="J58" s="3"/>
      <c r="K58" s="3"/>
      <c r="L58" s="3"/>
      <c r="M58" s="3"/>
      <c r="N58" s="3"/>
      <c r="O58" s="3"/>
      <c r="P58" s="3"/>
      <c r="Q58" s="3"/>
      <c r="R58" s="3"/>
      <c r="S58" s="3"/>
      <c r="T58" s="3"/>
      <c r="U58" s="3"/>
      <c r="V58" s="3"/>
      <c r="W58" s="3"/>
      <c r="X58" s="3"/>
      <c r="Y58" s="3"/>
      <c r="Z58" s="3"/>
    </row>
    <row r="59" spans="1:26" ht="15.75" customHeight="1" x14ac:dyDescent="0.3">
      <c r="A59" s="3"/>
      <c r="B59" s="3"/>
      <c r="C59" s="3"/>
      <c r="D59" s="3"/>
      <c r="E59" s="3"/>
      <c r="F59" s="3"/>
      <c r="G59" s="3"/>
      <c r="H59" s="11"/>
      <c r="I59" s="3"/>
      <c r="J59" s="3"/>
      <c r="K59" s="3"/>
      <c r="L59" s="3"/>
      <c r="M59" s="3"/>
      <c r="N59" s="3"/>
      <c r="O59" s="3"/>
      <c r="P59" s="3"/>
      <c r="Q59" s="3"/>
      <c r="R59" s="3"/>
      <c r="S59" s="3"/>
      <c r="T59" s="3"/>
      <c r="U59" s="3"/>
      <c r="V59" s="3"/>
      <c r="W59" s="3"/>
      <c r="X59" s="3"/>
      <c r="Y59" s="3"/>
      <c r="Z59" s="3"/>
    </row>
    <row r="60" spans="1:26" ht="15.75" customHeight="1" x14ac:dyDescent="0.3">
      <c r="A60" s="3"/>
      <c r="B60" s="3"/>
      <c r="C60" s="3"/>
      <c r="D60" s="3"/>
      <c r="E60" s="3"/>
      <c r="F60" s="3"/>
      <c r="G60" s="3"/>
      <c r="H60" s="11"/>
      <c r="I60" s="3"/>
      <c r="J60" s="3"/>
      <c r="K60" s="3"/>
      <c r="L60" s="3"/>
      <c r="M60" s="3"/>
      <c r="N60" s="3"/>
      <c r="O60" s="3"/>
      <c r="P60" s="3"/>
      <c r="Q60" s="3"/>
      <c r="R60" s="3"/>
      <c r="S60" s="3"/>
      <c r="T60" s="3"/>
      <c r="U60" s="3"/>
      <c r="V60" s="3"/>
      <c r="W60" s="3"/>
      <c r="X60" s="3"/>
      <c r="Y60" s="3"/>
      <c r="Z60" s="3"/>
    </row>
    <row r="61" spans="1:26" ht="15.75" customHeight="1" x14ac:dyDescent="0.3">
      <c r="A61" s="3"/>
      <c r="B61" s="3"/>
      <c r="C61" s="3"/>
      <c r="D61" s="3"/>
      <c r="E61" s="3"/>
      <c r="F61" s="3"/>
      <c r="G61" s="3"/>
      <c r="H61" s="11"/>
      <c r="I61" s="3"/>
      <c r="J61" s="3"/>
      <c r="K61" s="3"/>
      <c r="L61" s="3"/>
      <c r="M61" s="3"/>
      <c r="N61" s="3"/>
      <c r="O61" s="3"/>
      <c r="P61" s="3"/>
      <c r="Q61" s="3"/>
      <c r="R61" s="3"/>
      <c r="S61" s="3"/>
      <c r="T61" s="3"/>
      <c r="U61" s="3"/>
      <c r="V61" s="3"/>
      <c r="W61" s="3"/>
      <c r="X61" s="3"/>
      <c r="Y61" s="3"/>
      <c r="Z61" s="3"/>
    </row>
    <row r="62" spans="1:26" ht="15.75" customHeight="1" x14ac:dyDescent="0.3">
      <c r="A62" s="3"/>
      <c r="B62" s="3"/>
      <c r="C62" s="3"/>
      <c r="D62" s="3"/>
      <c r="E62" s="3"/>
      <c r="F62" s="3"/>
      <c r="G62" s="3"/>
      <c r="H62" s="11"/>
      <c r="I62" s="3"/>
      <c r="J62" s="3"/>
      <c r="K62" s="3"/>
      <c r="L62" s="3"/>
      <c r="M62" s="3"/>
      <c r="N62" s="3"/>
      <c r="O62" s="3"/>
      <c r="P62" s="3"/>
      <c r="Q62" s="3"/>
      <c r="R62" s="3"/>
      <c r="S62" s="3"/>
      <c r="T62" s="3"/>
      <c r="U62" s="3"/>
      <c r="V62" s="3"/>
      <c r="W62" s="3"/>
      <c r="X62" s="3"/>
      <c r="Y62" s="3"/>
      <c r="Z62" s="3"/>
    </row>
    <row r="63" spans="1:26" ht="15.75" customHeight="1" x14ac:dyDescent="0.3">
      <c r="A63" s="3"/>
      <c r="B63" s="3"/>
      <c r="C63" s="3"/>
      <c r="D63" s="3"/>
      <c r="E63" s="3"/>
      <c r="F63" s="3"/>
      <c r="G63" s="3"/>
      <c r="H63" s="11"/>
      <c r="I63" s="3"/>
      <c r="J63" s="3"/>
      <c r="K63" s="3"/>
      <c r="L63" s="3"/>
      <c r="M63" s="3"/>
      <c r="N63" s="3"/>
      <c r="O63" s="3"/>
      <c r="P63" s="3"/>
      <c r="Q63" s="3"/>
      <c r="R63" s="3"/>
      <c r="S63" s="3"/>
      <c r="T63" s="3"/>
      <c r="U63" s="3"/>
      <c r="V63" s="3"/>
      <c r="W63" s="3"/>
      <c r="X63" s="3"/>
      <c r="Y63" s="3"/>
      <c r="Z63" s="3"/>
    </row>
    <row r="64" spans="1:26" ht="15.75" customHeight="1" x14ac:dyDescent="0.3">
      <c r="A64" s="3"/>
      <c r="B64" s="3"/>
      <c r="C64" s="3"/>
      <c r="D64" s="3"/>
      <c r="E64" s="3"/>
      <c r="F64" s="3"/>
      <c r="G64" s="3"/>
      <c r="H64" s="11"/>
      <c r="I64" s="3"/>
      <c r="J64" s="3"/>
      <c r="K64" s="3"/>
      <c r="L64" s="3"/>
      <c r="M64" s="3"/>
      <c r="N64" s="3"/>
      <c r="O64" s="3"/>
      <c r="P64" s="3"/>
      <c r="Q64" s="3"/>
      <c r="R64" s="3"/>
      <c r="S64" s="3"/>
      <c r="T64" s="3"/>
      <c r="U64" s="3"/>
      <c r="V64" s="3"/>
      <c r="W64" s="3"/>
      <c r="X64" s="3"/>
      <c r="Y64" s="3"/>
      <c r="Z64" s="3"/>
    </row>
    <row r="65" spans="1:26" ht="15.75" customHeight="1" x14ac:dyDescent="0.3">
      <c r="A65" s="3"/>
      <c r="B65" s="3"/>
      <c r="C65" s="3"/>
      <c r="D65" s="3"/>
      <c r="E65" s="3"/>
      <c r="F65" s="3"/>
      <c r="G65" s="3"/>
      <c r="H65" s="11"/>
      <c r="I65" s="3"/>
      <c r="J65" s="3"/>
      <c r="K65" s="3"/>
      <c r="L65" s="3"/>
      <c r="M65" s="3"/>
      <c r="N65" s="3"/>
      <c r="O65" s="3"/>
      <c r="P65" s="3"/>
      <c r="Q65" s="3"/>
      <c r="R65" s="3"/>
      <c r="S65" s="3"/>
      <c r="T65" s="3"/>
      <c r="U65" s="3"/>
      <c r="V65" s="3"/>
      <c r="W65" s="3"/>
      <c r="X65" s="3"/>
      <c r="Y65" s="3"/>
      <c r="Z65" s="3"/>
    </row>
    <row r="66" spans="1:26" ht="15.75" customHeight="1" x14ac:dyDescent="0.3">
      <c r="A66" s="3"/>
      <c r="B66" s="3"/>
      <c r="C66" s="3"/>
      <c r="D66" s="3"/>
      <c r="E66" s="3"/>
      <c r="F66" s="3"/>
      <c r="G66" s="3"/>
      <c r="H66" s="11"/>
      <c r="I66" s="3"/>
      <c r="J66" s="3"/>
      <c r="K66" s="3"/>
      <c r="L66" s="3"/>
      <c r="M66" s="3"/>
      <c r="N66" s="3"/>
      <c r="O66" s="3"/>
      <c r="P66" s="3"/>
      <c r="Q66" s="3"/>
      <c r="R66" s="3"/>
      <c r="S66" s="3"/>
      <c r="T66" s="3"/>
      <c r="U66" s="3"/>
      <c r="V66" s="3"/>
      <c r="W66" s="3"/>
      <c r="X66" s="3"/>
      <c r="Y66" s="3"/>
      <c r="Z66" s="3"/>
    </row>
    <row r="67" spans="1:26" ht="15.75" customHeight="1" x14ac:dyDescent="0.3">
      <c r="A67" s="3"/>
      <c r="B67" s="3"/>
      <c r="C67" s="3"/>
      <c r="D67" s="3"/>
      <c r="E67" s="3"/>
      <c r="F67" s="3"/>
      <c r="G67" s="3"/>
      <c r="H67" s="11"/>
      <c r="I67" s="3"/>
      <c r="J67" s="3"/>
      <c r="K67" s="3"/>
      <c r="L67" s="3"/>
      <c r="M67" s="3"/>
      <c r="N67" s="3"/>
      <c r="O67" s="3"/>
      <c r="P67" s="3"/>
      <c r="Q67" s="3"/>
      <c r="R67" s="3"/>
      <c r="S67" s="3"/>
      <c r="T67" s="3"/>
      <c r="U67" s="3"/>
      <c r="V67" s="3"/>
      <c r="W67" s="3"/>
      <c r="X67" s="3"/>
      <c r="Y67" s="3"/>
      <c r="Z67" s="3"/>
    </row>
    <row r="68" spans="1:26" ht="15.75" customHeight="1" x14ac:dyDescent="0.3">
      <c r="A68" s="3"/>
      <c r="B68" s="3"/>
      <c r="C68" s="3"/>
      <c r="D68" s="3"/>
      <c r="E68" s="3"/>
      <c r="F68" s="3"/>
      <c r="G68" s="3"/>
      <c r="H68" s="11"/>
      <c r="I68" s="3"/>
      <c r="J68" s="3"/>
      <c r="K68" s="3"/>
      <c r="L68" s="3"/>
      <c r="M68" s="3"/>
      <c r="N68" s="3"/>
      <c r="O68" s="3"/>
      <c r="P68" s="3"/>
      <c r="Q68" s="3"/>
      <c r="R68" s="3"/>
      <c r="S68" s="3"/>
      <c r="T68" s="3"/>
      <c r="U68" s="3"/>
      <c r="V68" s="3"/>
      <c r="W68" s="3"/>
      <c r="X68" s="3"/>
      <c r="Y68" s="3"/>
      <c r="Z68" s="3"/>
    </row>
    <row r="69" spans="1:26" ht="15.75" customHeight="1" x14ac:dyDescent="0.3">
      <c r="A69" s="3"/>
      <c r="B69" s="3"/>
      <c r="C69" s="3"/>
      <c r="D69" s="3"/>
      <c r="E69" s="3"/>
      <c r="F69" s="3"/>
      <c r="G69" s="3"/>
      <c r="H69" s="11"/>
      <c r="I69" s="3"/>
      <c r="J69" s="3"/>
      <c r="K69" s="3"/>
      <c r="L69" s="3"/>
      <c r="M69" s="3"/>
      <c r="N69" s="3"/>
      <c r="O69" s="3"/>
      <c r="P69" s="3"/>
      <c r="Q69" s="3"/>
      <c r="R69" s="3"/>
      <c r="S69" s="3"/>
      <c r="T69" s="3"/>
      <c r="U69" s="3"/>
      <c r="V69" s="3"/>
      <c r="W69" s="3"/>
      <c r="X69" s="3"/>
      <c r="Y69" s="3"/>
      <c r="Z69" s="3"/>
    </row>
    <row r="70" spans="1:26" ht="15.75" customHeight="1" x14ac:dyDescent="0.3">
      <c r="A70" s="3"/>
      <c r="B70" s="3"/>
      <c r="C70" s="3"/>
      <c r="D70" s="3"/>
      <c r="E70" s="3"/>
      <c r="F70" s="3"/>
      <c r="G70" s="3"/>
      <c r="H70" s="11"/>
      <c r="I70" s="3"/>
      <c r="J70" s="3"/>
      <c r="K70" s="3"/>
      <c r="L70" s="3"/>
      <c r="M70" s="3"/>
      <c r="N70" s="3"/>
      <c r="O70" s="3"/>
      <c r="P70" s="3"/>
      <c r="Q70" s="3"/>
      <c r="R70" s="3"/>
      <c r="S70" s="3"/>
      <c r="T70" s="3"/>
      <c r="U70" s="3"/>
      <c r="V70" s="3"/>
      <c r="W70" s="3"/>
      <c r="X70" s="3"/>
      <c r="Y70" s="3"/>
      <c r="Z70" s="3"/>
    </row>
    <row r="71" spans="1:26" ht="15.75" customHeight="1" x14ac:dyDescent="0.3">
      <c r="A71" s="3"/>
      <c r="B71" s="3"/>
      <c r="C71" s="3"/>
      <c r="D71" s="3"/>
      <c r="E71" s="3"/>
      <c r="F71" s="3"/>
      <c r="G71" s="3"/>
      <c r="H71" s="11"/>
      <c r="I71" s="3"/>
      <c r="J71" s="3"/>
      <c r="K71" s="3"/>
      <c r="L71" s="3"/>
      <c r="M71" s="3"/>
      <c r="N71" s="3"/>
      <c r="O71" s="3"/>
      <c r="P71" s="3"/>
      <c r="Q71" s="3"/>
      <c r="R71" s="3"/>
      <c r="S71" s="3"/>
      <c r="T71" s="3"/>
      <c r="U71" s="3"/>
      <c r="V71" s="3"/>
      <c r="W71" s="3"/>
      <c r="X71" s="3"/>
      <c r="Y71" s="3"/>
      <c r="Z71" s="3"/>
    </row>
    <row r="72" spans="1:26" ht="15.75" customHeight="1" x14ac:dyDescent="0.3">
      <c r="A72" s="3"/>
      <c r="B72" s="3"/>
      <c r="C72" s="3"/>
      <c r="D72" s="3"/>
      <c r="E72" s="3"/>
      <c r="F72" s="3"/>
      <c r="G72" s="3"/>
      <c r="H72" s="11"/>
      <c r="I72" s="3"/>
      <c r="J72" s="3"/>
      <c r="K72" s="3"/>
      <c r="L72" s="3"/>
      <c r="M72" s="3"/>
      <c r="N72" s="3"/>
      <c r="O72" s="3"/>
      <c r="P72" s="3"/>
      <c r="Q72" s="3"/>
      <c r="R72" s="3"/>
      <c r="S72" s="3"/>
      <c r="T72" s="3"/>
      <c r="U72" s="3"/>
      <c r="V72" s="3"/>
      <c r="W72" s="3"/>
      <c r="X72" s="3"/>
      <c r="Y72" s="3"/>
      <c r="Z72" s="3"/>
    </row>
    <row r="73" spans="1:26" ht="15.75" customHeight="1" x14ac:dyDescent="0.3">
      <c r="A73" s="3"/>
      <c r="B73" s="3"/>
      <c r="C73" s="3"/>
      <c r="D73" s="3"/>
      <c r="E73" s="3"/>
      <c r="F73" s="3"/>
      <c r="G73" s="3"/>
      <c r="H73" s="11"/>
      <c r="I73" s="3"/>
      <c r="J73" s="3"/>
      <c r="K73" s="3"/>
      <c r="L73" s="3"/>
      <c r="M73" s="3"/>
      <c r="N73" s="3"/>
      <c r="O73" s="3"/>
      <c r="P73" s="3"/>
      <c r="Q73" s="3"/>
      <c r="R73" s="3"/>
      <c r="S73" s="3"/>
      <c r="T73" s="3"/>
      <c r="U73" s="3"/>
      <c r="V73" s="3"/>
      <c r="W73" s="3"/>
      <c r="X73" s="3"/>
      <c r="Y73" s="3"/>
      <c r="Z73" s="3"/>
    </row>
    <row r="74" spans="1:26" ht="15.75" customHeight="1" x14ac:dyDescent="0.3">
      <c r="A74" s="3"/>
      <c r="B74" s="3"/>
      <c r="C74" s="3"/>
      <c r="D74" s="3"/>
      <c r="E74" s="3"/>
      <c r="F74" s="3"/>
      <c r="G74" s="3"/>
      <c r="H74" s="11"/>
      <c r="I74" s="3"/>
      <c r="J74" s="3"/>
      <c r="K74" s="3"/>
      <c r="L74" s="3"/>
      <c r="M74" s="3"/>
      <c r="N74" s="3"/>
      <c r="O74" s="3"/>
      <c r="P74" s="3"/>
      <c r="Q74" s="3"/>
      <c r="R74" s="3"/>
      <c r="S74" s="3"/>
      <c r="T74" s="3"/>
      <c r="U74" s="3"/>
      <c r="V74" s="3"/>
      <c r="W74" s="3"/>
      <c r="X74" s="3"/>
      <c r="Y74" s="3"/>
      <c r="Z74" s="3"/>
    </row>
    <row r="75" spans="1:26" ht="15.75" customHeight="1" x14ac:dyDescent="0.3">
      <c r="A75" s="3"/>
      <c r="B75" s="3"/>
      <c r="C75" s="3"/>
      <c r="D75" s="3"/>
      <c r="E75" s="3"/>
      <c r="F75" s="3"/>
      <c r="G75" s="3"/>
      <c r="H75" s="11"/>
      <c r="I75" s="3"/>
      <c r="J75" s="3"/>
      <c r="K75" s="3"/>
      <c r="L75" s="3"/>
      <c r="M75" s="3"/>
      <c r="N75" s="3"/>
      <c r="O75" s="3"/>
      <c r="P75" s="3"/>
      <c r="Q75" s="3"/>
      <c r="R75" s="3"/>
      <c r="S75" s="3"/>
      <c r="T75" s="3"/>
      <c r="U75" s="3"/>
      <c r="V75" s="3"/>
      <c r="W75" s="3"/>
      <c r="X75" s="3"/>
      <c r="Y75" s="3"/>
      <c r="Z75" s="3"/>
    </row>
    <row r="76" spans="1:26" ht="15.75" customHeight="1" x14ac:dyDescent="0.3">
      <c r="A76" s="3"/>
      <c r="B76" s="3"/>
      <c r="C76" s="3"/>
      <c r="D76" s="3"/>
      <c r="E76" s="3"/>
      <c r="F76" s="3"/>
      <c r="G76" s="3"/>
      <c r="H76" s="11"/>
      <c r="I76" s="3"/>
      <c r="J76" s="3"/>
      <c r="K76" s="3"/>
      <c r="L76" s="3"/>
      <c r="M76" s="3"/>
      <c r="N76" s="3"/>
      <c r="O76" s="3"/>
      <c r="P76" s="3"/>
      <c r="Q76" s="3"/>
      <c r="R76" s="3"/>
      <c r="S76" s="3"/>
      <c r="T76" s="3"/>
      <c r="U76" s="3"/>
      <c r="V76" s="3"/>
      <c r="W76" s="3"/>
      <c r="X76" s="3"/>
      <c r="Y76" s="3"/>
      <c r="Z76" s="3"/>
    </row>
    <row r="77" spans="1:26" ht="15.75" customHeight="1" x14ac:dyDescent="0.3">
      <c r="A77" s="3"/>
      <c r="B77" s="3"/>
      <c r="C77" s="3"/>
      <c r="D77" s="3"/>
      <c r="E77" s="3"/>
      <c r="F77" s="3"/>
      <c r="G77" s="3"/>
      <c r="H77" s="11"/>
      <c r="I77" s="3"/>
      <c r="J77" s="3"/>
      <c r="K77" s="3"/>
      <c r="L77" s="3"/>
      <c r="M77" s="3"/>
      <c r="N77" s="3"/>
      <c r="O77" s="3"/>
      <c r="P77" s="3"/>
      <c r="Q77" s="3"/>
      <c r="R77" s="3"/>
      <c r="S77" s="3"/>
      <c r="T77" s="3"/>
      <c r="U77" s="3"/>
      <c r="V77" s="3"/>
      <c r="W77" s="3"/>
      <c r="X77" s="3"/>
      <c r="Y77" s="3"/>
      <c r="Z77" s="3"/>
    </row>
    <row r="78" spans="1:26" ht="15.75" customHeight="1" x14ac:dyDescent="0.3">
      <c r="A78" s="3"/>
      <c r="B78" s="3"/>
      <c r="C78" s="3"/>
      <c r="D78" s="3"/>
      <c r="E78" s="3"/>
      <c r="F78" s="3"/>
      <c r="G78" s="3"/>
      <c r="H78" s="11"/>
      <c r="I78" s="3"/>
      <c r="J78" s="3"/>
      <c r="K78" s="3"/>
      <c r="L78" s="3"/>
      <c r="M78" s="3"/>
      <c r="N78" s="3"/>
      <c r="O78" s="3"/>
      <c r="P78" s="3"/>
      <c r="Q78" s="3"/>
      <c r="R78" s="3"/>
      <c r="S78" s="3"/>
      <c r="T78" s="3"/>
      <c r="U78" s="3"/>
      <c r="V78" s="3"/>
      <c r="W78" s="3"/>
      <c r="X78" s="3"/>
      <c r="Y78" s="3"/>
      <c r="Z78" s="3"/>
    </row>
    <row r="79" spans="1:26" ht="15.75" customHeight="1" x14ac:dyDescent="0.3">
      <c r="A79" s="3"/>
      <c r="B79" s="3"/>
      <c r="C79" s="3"/>
      <c r="D79" s="3"/>
      <c r="E79" s="3"/>
      <c r="F79" s="3"/>
      <c r="G79" s="3"/>
      <c r="H79" s="11"/>
      <c r="I79" s="3"/>
      <c r="J79" s="3"/>
      <c r="K79" s="3"/>
      <c r="L79" s="3"/>
      <c r="M79" s="3"/>
      <c r="N79" s="3"/>
      <c r="O79" s="3"/>
      <c r="P79" s="3"/>
      <c r="Q79" s="3"/>
      <c r="R79" s="3"/>
      <c r="S79" s="3"/>
      <c r="T79" s="3"/>
      <c r="U79" s="3"/>
      <c r="V79" s="3"/>
      <c r="W79" s="3"/>
      <c r="X79" s="3"/>
      <c r="Y79" s="3"/>
      <c r="Z79" s="3"/>
    </row>
    <row r="80" spans="1:26" ht="15.75" customHeight="1" x14ac:dyDescent="0.3">
      <c r="A80" s="3"/>
      <c r="B80" s="3"/>
      <c r="C80" s="3"/>
      <c r="D80" s="3"/>
      <c r="E80" s="3"/>
      <c r="F80" s="3"/>
      <c r="G80" s="3"/>
      <c r="H80" s="11"/>
      <c r="I80" s="3"/>
      <c r="J80" s="3"/>
      <c r="K80" s="3"/>
      <c r="L80" s="3"/>
      <c r="M80" s="3"/>
      <c r="N80" s="3"/>
      <c r="O80" s="3"/>
      <c r="P80" s="3"/>
      <c r="Q80" s="3"/>
      <c r="R80" s="3"/>
      <c r="S80" s="3"/>
      <c r="T80" s="3"/>
      <c r="U80" s="3"/>
      <c r="V80" s="3"/>
      <c r="W80" s="3"/>
      <c r="X80" s="3"/>
      <c r="Y80" s="3"/>
      <c r="Z80" s="3"/>
    </row>
    <row r="81" spans="1:26" ht="15.75" customHeight="1" x14ac:dyDescent="0.3">
      <c r="A81" s="3"/>
      <c r="B81" s="3"/>
      <c r="C81" s="3"/>
      <c r="D81" s="3"/>
      <c r="E81" s="3"/>
      <c r="F81" s="3"/>
      <c r="G81" s="3"/>
      <c r="H81" s="11"/>
      <c r="I81" s="3"/>
      <c r="J81" s="3"/>
      <c r="K81" s="3"/>
      <c r="L81" s="3"/>
      <c r="M81" s="3"/>
      <c r="N81" s="3"/>
      <c r="O81" s="3"/>
      <c r="P81" s="3"/>
      <c r="Q81" s="3"/>
      <c r="R81" s="3"/>
      <c r="S81" s="3"/>
      <c r="T81" s="3"/>
      <c r="U81" s="3"/>
      <c r="V81" s="3"/>
      <c r="W81" s="3"/>
      <c r="X81" s="3"/>
      <c r="Y81" s="3"/>
      <c r="Z81" s="3"/>
    </row>
    <row r="82" spans="1:26" ht="15.75" customHeight="1" x14ac:dyDescent="0.3">
      <c r="A82" s="3"/>
      <c r="B82" s="3"/>
      <c r="C82" s="3"/>
      <c r="D82" s="3"/>
      <c r="E82" s="3"/>
      <c r="F82" s="3"/>
      <c r="G82" s="3"/>
      <c r="H82" s="11"/>
      <c r="I82" s="3"/>
      <c r="J82" s="3"/>
      <c r="K82" s="3"/>
      <c r="L82" s="3"/>
      <c r="M82" s="3"/>
      <c r="N82" s="3"/>
      <c r="O82" s="3"/>
      <c r="P82" s="3"/>
      <c r="Q82" s="3"/>
      <c r="R82" s="3"/>
      <c r="S82" s="3"/>
      <c r="T82" s="3"/>
      <c r="U82" s="3"/>
      <c r="V82" s="3"/>
      <c r="W82" s="3"/>
      <c r="X82" s="3"/>
      <c r="Y82" s="3"/>
      <c r="Z82" s="3"/>
    </row>
    <row r="83" spans="1:26" ht="15.75" customHeight="1" x14ac:dyDescent="0.3">
      <c r="A83" s="3"/>
      <c r="B83" s="3"/>
      <c r="C83" s="3"/>
      <c r="D83" s="3"/>
      <c r="E83" s="3"/>
      <c r="F83" s="3"/>
      <c r="G83" s="3"/>
      <c r="H83" s="11"/>
      <c r="I83" s="3"/>
      <c r="J83" s="3"/>
      <c r="K83" s="3"/>
      <c r="L83" s="3"/>
      <c r="M83" s="3"/>
      <c r="N83" s="3"/>
      <c r="O83" s="3"/>
      <c r="P83" s="3"/>
      <c r="Q83" s="3"/>
      <c r="R83" s="3"/>
      <c r="S83" s="3"/>
      <c r="T83" s="3"/>
      <c r="U83" s="3"/>
      <c r="V83" s="3"/>
      <c r="W83" s="3"/>
      <c r="X83" s="3"/>
      <c r="Y83" s="3"/>
      <c r="Z83" s="3"/>
    </row>
    <row r="84" spans="1:26" ht="15.75" customHeight="1" x14ac:dyDescent="0.3">
      <c r="A84" s="3"/>
      <c r="B84" s="3"/>
      <c r="C84" s="3"/>
      <c r="D84" s="3"/>
      <c r="E84" s="3"/>
      <c r="F84" s="3"/>
      <c r="G84" s="3"/>
      <c r="H84" s="11"/>
      <c r="I84" s="3"/>
      <c r="J84" s="3"/>
      <c r="K84" s="3"/>
      <c r="L84" s="3"/>
      <c r="M84" s="3"/>
      <c r="N84" s="3"/>
      <c r="O84" s="3"/>
      <c r="P84" s="3"/>
      <c r="Q84" s="3"/>
      <c r="R84" s="3"/>
      <c r="S84" s="3"/>
      <c r="T84" s="3"/>
      <c r="U84" s="3"/>
      <c r="V84" s="3"/>
      <c r="W84" s="3"/>
      <c r="X84" s="3"/>
      <c r="Y84" s="3"/>
      <c r="Z84" s="3"/>
    </row>
    <row r="85" spans="1:26" ht="15.75" customHeight="1" x14ac:dyDescent="0.3">
      <c r="A85" s="3"/>
      <c r="B85" s="3"/>
      <c r="C85" s="3"/>
      <c r="D85" s="3"/>
      <c r="E85" s="3"/>
      <c r="F85" s="3"/>
      <c r="G85" s="3"/>
      <c r="H85" s="11"/>
      <c r="I85" s="3"/>
      <c r="J85" s="3"/>
      <c r="K85" s="3"/>
      <c r="L85" s="3"/>
      <c r="M85" s="3"/>
      <c r="N85" s="3"/>
      <c r="O85" s="3"/>
      <c r="P85" s="3"/>
      <c r="Q85" s="3"/>
      <c r="R85" s="3"/>
      <c r="S85" s="3"/>
      <c r="T85" s="3"/>
      <c r="U85" s="3"/>
      <c r="V85" s="3"/>
      <c r="W85" s="3"/>
      <c r="X85" s="3"/>
      <c r="Y85" s="3"/>
      <c r="Z85" s="3"/>
    </row>
    <row r="86" spans="1:26" ht="15.75" customHeight="1" x14ac:dyDescent="0.3">
      <c r="A86" s="3"/>
      <c r="B86" s="3"/>
      <c r="C86" s="3"/>
      <c r="D86" s="3"/>
      <c r="E86" s="3"/>
      <c r="F86" s="3"/>
      <c r="G86" s="3"/>
      <c r="H86" s="11"/>
      <c r="I86" s="3"/>
      <c r="J86" s="3"/>
      <c r="K86" s="3"/>
      <c r="L86" s="3"/>
      <c r="M86" s="3"/>
      <c r="N86" s="3"/>
      <c r="O86" s="3"/>
      <c r="P86" s="3"/>
      <c r="Q86" s="3"/>
      <c r="R86" s="3"/>
      <c r="S86" s="3"/>
      <c r="T86" s="3"/>
      <c r="U86" s="3"/>
      <c r="V86" s="3"/>
      <c r="W86" s="3"/>
      <c r="X86" s="3"/>
      <c r="Y86" s="3"/>
      <c r="Z86" s="3"/>
    </row>
    <row r="87" spans="1:26" ht="15.75" customHeight="1" x14ac:dyDescent="0.3">
      <c r="A87" s="3"/>
      <c r="B87" s="3"/>
      <c r="C87" s="3"/>
      <c r="D87" s="3"/>
      <c r="E87" s="3"/>
      <c r="F87" s="3"/>
      <c r="G87" s="3"/>
      <c r="H87" s="11"/>
      <c r="I87" s="3"/>
      <c r="J87" s="3"/>
      <c r="K87" s="3"/>
      <c r="L87" s="3"/>
      <c r="M87" s="3"/>
      <c r="N87" s="3"/>
      <c r="O87" s="3"/>
      <c r="P87" s="3"/>
      <c r="Q87" s="3"/>
      <c r="R87" s="3"/>
      <c r="S87" s="3"/>
      <c r="T87" s="3"/>
      <c r="U87" s="3"/>
      <c r="V87" s="3"/>
      <c r="W87" s="3"/>
      <c r="X87" s="3"/>
      <c r="Y87" s="3"/>
      <c r="Z87" s="3"/>
    </row>
    <row r="88" spans="1:26" ht="15.75" customHeight="1" x14ac:dyDescent="0.3">
      <c r="A88" s="3"/>
      <c r="B88" s="3"/>
      <c r="C88" s="3"/>
      <c r="D88" s="3"/>
      <c r="E88" s="3"/>
      <c r="F88" s="3"/>
      <c r="G88" s="3"/>
      <c r="H88" s="11"/>
      <c r="I88" s="3"/>
      <c r="J88" s="3"/>
      <c r="K88" s="3"/>
      <c r="L88" s="3"/>
      <c r="M88" s="3"/>
      <c r="N88" s="3"/>
      <c r="O88" s="3"/>
      <c r="P88" s="3"/>
      <c r="Q88" s="3"/>
      <c r="R88" s="3"/>
      <c r="S88" s="3"/>
      <c r="T88" s="3"/>
      <c r="U88" s="3"/>
      <c r="V88" s="3"/>
      <c r="W88" s="3"/>
      <c r="X88" s="3"/>
      <c r="Y88" s="3"/>
      <c r="Z88" s="3"/>
    </row>
    <row r="89" spans="1:26" ht="15.75" customHeight="1" x14ac:dyDescent="0.3">
      <c r="A89" s="3"/>
      <c r="B89" s="3"/>
      <c r="C89" s="3"/>
      <c r="D89" s="3"/>
      <c r="E89" s="3"/>
      <c r="F89" s="3"/>
      <c r="G89" s="3"/>
      <c r="H89" s="11"/>
      <c r="I89" s="3"/>
      <c r="J89" s="3"/>
      <c r="K89" s="3"/>
      <c r="L89" s="3"/>
      <c r="M89" s="3"/>
      <c r="N89" s="3"/>
      <c r="O89" s="3"/>
      <c r="P89" s="3"/>
      <c r="Q89" s="3"/>
      <c r="R89" s="3"/>
      <c r="S89" s="3"/>
      <c r="T89" s="3"/>
      <c r="U89" s="3"/>
      <c r="V89" s="3"/>
      <c r="W89" s="3"/>
      <c r="X89" s="3"/>
      <c r="Y89" s="3"/>
      <c r="Z89" s="3"/>
    </row>
    <row r="90" spans="1:26" ht="15.75" customHeight="1" x14ac:dyDescent="0.3">
      <c r="A90" s="3"/>
      <c r="B90" s="3"/>
      <c r="C90" s="3"/>
      <c r="D90" s="3"/>
      <c r="E90" s="3"/>
      <c r="F90" s="3"/>
      <c r="G90" s="3"/>
      <c r="H90" s="11"/>
      <c r="I90" s="3"/>
      <c r="J90" s="3"/>
      <c r="K90" s="3"/>
      <c r="L90" s="3"/>
      <c r="M90" s="3"/>
      <c r="N90" s="3"/>
      <c r="O90" s="3"/>
      <c r="P90" s="3"/>
      <c r="Q90" s="3"/>
      <c r="R90" s="3"/>
      <c r="S90" s="3"/>
      <c r="T90" s="3"/>
      <c r="U90" s="3"/>
      <c r="V90" s="3"/>
      <c r="W90" s="3"/>
      <c r="X90" s="3"/>
      <c r="Y90" s="3"/>
      <c r="Z90" s="3"/>
    </row>
    <row r="91" spans="1:26" ht="15.75" customHeight="1" x14ac:dyDescent="0.3">
      <c r="A91" s="3"/>
      <c r="B91" s="3"/>
      <c r="C91" s="3"/>
      <c r="D91" s="3"/>
      <c r="E91" s="3"/>
      <c r="F91" s="3"/>
      <c r="G91" s="3"/>
      <c r="H91" s="11"/>
      <c r="I91" s="3"/>
      <c r="J91" s="3"/>
      <c r="K91" s="3"/>
      <c r="L91" s="3"/>
      <c r="M91" s="3"/>
      <c r="N91" s="3"/>
      <c r="O91" s="3"/>
      <c r="P91" s="3"/>
      <c r="Q91" s="3"/>
      <c r="R91" s="3"/>
      <c r="S91" s="3"/>
      <c r="T91" s="3"/>
      <c r="U91" s="3"/>
      <c r="V91" s="3"/>
      <c r="W91" s="3"/>
      <c r="X91" s="3"/>
      <c r="Y91" s="3"/>
      <c r="Z91" s="3"/>
    </row>
    <row r="92" spans="1:26" ht="15.75" customHeight="1" x14ac:dyDescent="0.3">
      <c r="A92" s="3"/>
      <c r="B92" s="3"/>
      <c r="C92" s="3"/>
      <c r="D92" s="3"/>
      <c r="E92" s="3"/>
      <c r="F92" s="3"/>
      <c r="G92" s="3"/>
      <c r="H92" s="11"/>
      <c r="I92" s="3"/>
      <c r="J92" s="3"/>
      <c r="K92" s="3"/>
      <c r="L92" s="3"/>
      <c r="M92" s="3"/>
      <c r="N92" s="3"/>
      <c r="O92" s="3"/>
      <c r="P92" s="3"/>
      <c r="Q92" s="3"/>
      <c r="R92" s="3"/>
      <c r="S92" s="3"/>
      <c r="T92" s="3"/>
      <c r="U92" s="3"/>
      <c r="V92" s="3"/>
      <c r="W92" s="3"/>
      <c r="X92" s="3"/>
      <c r="Y92" s="3"/>
      <c r="Z92" s="3"/>
    </row>
    <row r="93" spans="1:26" ht="15.75" customHeight="1" x14ac:dyDescent="0.3">
      <c r="A93" s="3"/>
      <c r="B93" s="3"/>
      <c r="C93" s="3"/>
      <c r="D93" s="3"/>
      <c r="E93" s="3"/>
      <c r="F93" s="3"/>
      <c r="G93" s="3"/>
      <c r="H93" s="11"/>
      <c r="I93" s="3"/>
      <c r="J93" s="3"/>
      <c r="K93" s="3"/>
      <c r="L93" s="3"/>
      <c r="M93" s="3"/>
      <c r="N93" s="3"/>
      <c r="O93" s="3"/>
      <c r="P93" s="3"/>
      <c r="Q93" s="3"/>
      <c r="R93" s="3"/>
      <c r="S93" s="3"/>
      <c r="T93" s="3"/>
      <c r="U93" s="3"/>
      <c r="V93" s="3"/>
      <c r="W93" s="3"/>
      <c r="X93" s="3"/>
      <c r="Y93" s="3"/>
      <c r="Z93" s="3"/>
    </row>
    <row r="94" spans="1:26" ht="15.75" customHeight="1" x14ac:dyDescent="0.3">
      <c r="A94" s="3"/>
      <c r="B94" s="3"/>
      <c r="C94" s="3"/>
      <c r="D94" s="3"/>
      <c r="E94" s="3"/>
      <c r="F94" s="3"/>
      <c r="G94" s="3"/>
      <c r="H94" s="11"/>
      <c r="I94" s="3"/>
      <c r="J94" s="3"/>
      <c r="K94" s="3"/>
      <c r="L94" s="3"/>
      <c r="M94" s="3"/>
      <c r="N94" s="3"/>
      <c r="O94" s="3"/>
      <c r="P94" s="3"/>
      <c r="Q94" s="3"/>
      <c r="R94" s="3"/>
      <c r="S94" s="3"/>
      <c r="T94" s="3"/>
      <c r="U94" s="3"/>
      <c r="V94" s="3"/>
      <c r="W94" s="3"/>
      <c r="X94" s="3"/>
      <c r="Y94" s="3"/>
      <c r="Z94" s="3"/>
    </row>
    <row r="95" spans="1:26" ht="15.75" customHeight="1" x14ac:dyDescent="0.3">
      <c r="A95" s="3"/>
      <c r="B95" s="3"/>
      <c r="C95" s="3"/>
      <c r="D95" s="3"/>
      <c r="E95" s="3"/>
      <c r="F95" s="3"/>
      <c r="G95" s="3"/>
      <c r="H95" s="11"/>
      <c r="I95" s="3"/>
      <c r="J95" s="3"/>
      <c r="K95" s="3"/>
      <c r="L95" s="3"/>
      <c r="M95" s="3"/>
      <c r="N95" s="3"/>
      <c r="O95" s="3"/>
      <c r="P95" s="3"/>
      <c r="Q95" s="3"/>
      <c r="R95" s="3"/>
      <c r="S95" s="3"/>
      <c r="T95" s="3"/>
      <c r="U95" s="3"/>
      <c r="V95" s="3"/>
      <c r="W95" s="3"/>
      <c r="X95" s="3"/>
      <c r="Y95" s="3"/>
      <c r="Z95" s="3"/>
    </row>
    <row r="96" spans="1:26" ht="15.75" customHeight="1" x14ac:dyDescent="0.3">
      <c r="A96" s="3"/>
      <c r="B96" s="3"/>
      <c r="C96" s="3"/>
      <c r="D96" s="3"/>
      <c r="E96" s="3"/>
      <c r="F96" s="3"/>
      <c r="G96" s="3"/>
      <c r="H96" s="11"/>
      <c r="I96" s="3"/>
      <c r="J96" s="3"/>
      <c r="K96" s="3"/>
      <c r="L96" s="3"/>
      <c r="M96" s="3"/>
      <c r="N96" s="3"/>
      <c r="O96" s="3"/>
      <c r="P96" s="3"/>
      <c r="Q96" s="3"/>
      <c r="R96" s="3"/>
      <c r="S96" s="3"/>
      <c r="T96" s="3"/>
      <c r="U96" s="3"/>
      <c r="V96" s="3"/>
      <c r="W96" s="3"/>
      <c r="X96" s="3"/>
      <c r="Y96" s="3"/>
      <c r="Z96" s="3"/>
    </row>
    <row r="97" spans="1:26" ht="15.75" customHeight="1" x14ac:dyDescent="0.3">
      <c r="A97" s="3"/>
      <c r="B97" s="3"/>
      <c r="C97" s="3"/>
      <c r="D97" s="3"/>
      <c r="E97" s="3"/>
      <c r="F97" s="3"/>
      <c r="G97" s="3"/>
      <c r="H97" s="11"/>
      <c r="I97" s="3"/>
      <c r="J97" s="3"/>
      <c r="K97" s="3"/>
      <c r="L97" s="3"/>
      <c r="M97" s="3"/>
      <c r="N97" s="3"/>
      <c r="O97" s="3"/>
      <c r="P97" s="3"/>
      <c r="Q97" s="3"/>
      <c r="R97" s="3"/>
      <c r="S97" s="3"/>
      <c r="T97" s="3"/>
      <c r="U97" s="3"/>
      <c r="V97" s="3"/>
      <c r="W97" s="3"/>
      <c r="X97" s="3"/>
      <c r="Y97" s="3"/>
      <c r="Z97" s="3"/>
    </row>
    <row r="98" spans="1:26" ht="15.75" customHeight="1" x14ac:dyDescent="0.3">
      <c r="A98" s="3"/>
      <c r="B98" s="3"/>
      <c r="C98" s="3"/>
      <c r="D98" s="3"/>
      <c r="E98" s="3"/>
      <c r="F98" s="3"/>
      <c r="G98" s="3"/>
      <c r="H98" s="11"/>
      <c r="I98" s="3"/>
      <c r="J98" s="3"/>
      <c r="K98" s="3"/>
      <c r="L98" s="3"/>
      <c r="M98" s="3"/>
      <c r="N98" s="3"/>
      <c r="O98" s="3"/>
      <c r="P98" s="3"/>
      <c r="Q98" s="3"/>
      <c r="R98" s="3"/>
      <c r="S98" s="3"/>
      <c r="T98" s="3"/>
      <c r="U98" s="3"/>
      <c r="V98" s="3"/>
      <c r="W98" s="3"/>
      <c r="X98" s="3"/>
      <c r="Y98" s="3"/>
      <c r="Z98" s="3"/>
    </row>
    <row r="99" spans="1:26" ht="15.75" customHeight="1" x14ac:dyDescent="0.3">
      <c r="A99" s="3"/>
      <c r="B99" s="3"/>
      <c r="C99" s="3"/>
      <c r="D99" s="3"/>
      <c r="E99" s="3"/>
      <c r="F99" s="3"/>
      <c r="G99" s="3"/>
      <c r="H99" s="11"/>
      <c r="I99" s="3"/>
      <c r="J99" s="3"/>
      <c r="K99" s="3"/>
      <c r="L99" s="3"/>
      <c r="M99" s="3"/>
      <c r="N99" s="3"/>
      <c r="O99" s="3"/>
      <c r="P99" s="3"/>
      <c r="Q99" s="3"/>
      <c r="R99" s="3"/>
      <c r="S99" s="3"/>
      <c r="T99" s="3"/>
      <c r="U99" s="3"/>
      <c r="V99" s="3"/>
      <c r="W99" s="3"/>
      <c r="X99" s="3"/>
      <c r="Y99" s="3"/>
      <c r="Z99" s="3"/>
    </row>
    <row r="100" spans="1:26" ht="15.75" customHeight="1" x14ac:dyDescent="0.3">
      <c r="A100" s="3"/>
      <c r="B100" s="3"/>
      <c r="C100" s="3"/>
      <c r="D100" s="3"/>
      <c r="E100" s="3"/>
      <c r="F100" s="3"/>
      <c r="G100" s="3"/>
      <c r="H100" s="11"/>
      <c r="I100" s="3"/>
      <c r="J100" s="3"/>
      <c r="K100" s="3"/>
      <c r="L100" s="3"/>
      <c r="M100" s="3"/>
      <c r="N100" s="3"/>
      <c r="O100" s="3"/>
      <c r="P100" s="3"/>
      <c r="Q100" s="3"/>
      <c r="R100" s="3"/>
      <c r="S100" s="3"/>
      <c r="T100" s="3"/>
      <c r="U100" s="3"/>
      <c r="V100" s="3"/>
      <c r="W100" s="3"/>
      <c r="X100" s="3"/>
      <c r="Y100" s="3"/>
      <c r="Z100" s="3"/>
    </row>
    <row r="101" spans="1:26" ht="15.75" customHeight="1" x14ac:dyDescent="0.3">
      <c r="A101" s="3"/>
      <c r="B101" s="3"/>
      <c r="C101" s="3"/>
      <c r="D101" s="3"/>
      <c r="E101" s="3"/>
      <c r="F101" s="3"/>
      <c r="G101" s="3"/>
      <c r="H101" s="11"/>
      <c r="I101" s="3"/>
      <c r="J101" s="3"/>
      <c r="K101" s="3"/>
      <c r="L101" s="3"/>
      <c r="M101" s="3"/>
      <c r="N101" s="3"/>
      <c r="O101" s="3"/>
      <c r="P101" s="3"/>
      <c r="Q101" s="3"/>
      <c r="R101" s="3"/>
      <c r="S101" s="3"/>
      <c r="T101" s="3"/>
      <c r="U101" s="3"/>
      <c r="V101" s="3"/>
      <c r="W101" s="3"/>
      <c r="X101" s="3"/>
      <c r="Y101" s="3"/>
      <c r="Z101" s="3"/>
    </row>
    <row r="102" spans="1:26" ht="15.75" customHeight="1" x14ac:dyDescent="0.3">
      <c r="A102" s="3"/>
      <c r="B102" s="3"/>
      <c r="C102" s="3"/>
      <c r="D102" s="3"/>
      <c r="E102" s="3"/>
      <c r="F102" s="3"/>
      <c r="G102" s="3"/>
      <c r="H102" s="11"/>
      <c r="I102" s="3"/>
      <c r="J102" s="3"/>
      <c r="K102" s="3"/>
      <c r="L102" s="3"/>
      <c r="M102" s="3"/>
      <c r="N102" s="3"/>
      <c r="O102" s="3"/>
      <c r="P102" s="3"/>
      <c r="Q102" s="3"/>
      <c r="R102" s="3"/>
      <c r="S102" s="3"/>
      <c r="T102" s="3"/>
      <c r="U102" s="3"/>
      <c r="V102" s="3"/>
      <c r="W102" s="3"/>
      <c r="X102" s="3"/>
      <c r="Y102" s="3"/>
      <c r="Z102" s="3"/>
    </row>
    <row r="103" spans="1:26" ht="15.75" customHeight="1" x14ac:dyDescent="0.3">
      <c r="A103" s="3"/>
      <c r="B103" s="3"/>
      <c r="C103" s="3"/>
      <c r="D103" s="3"/>
      <c r="E103" s="3"/>
      <c r="F103" s="3"/>
      <c r="G103" s="3"/>
      <c r="H103" s="11"/>
      <c r="I103" s="3"/>
      <c r="J103" s="3"/>
      <c r="K103" s="3"/>
      <c r="L103" s="3"/>
      <c r="M103" s="3"/>
      <c r="N103" s="3"/>
      <c r="O103" s="3"/>
      <c r="P103" s="3"/>
      <c r="Q103" s="3"/>
      <c r="R103" s="3"/>
      <c r="S103" s="3"/>
      <c r="T103" s="3"/>
      <c r="U103" s="3"/>
      <c r="V103" s="3"/>
      <c r="W103" s="3"/>
      <c r="X103" s="3"/>
      <c r="Y103" s="3"/>
      <c r="Z103" s="3"/>
    </row>
    <row r="104" spans="1:26" ht="15.75" customHeight="1" x14ac:dyDescent="0.3">
      <c r="A104" s="3"/>
      <c r="B104" s="3"/>
      <c r="C104" s="3"/>
      <c r="D104" s="3"/>
      <c r="E104" s="3"/>
      <c r="F104" s="3"/>
      <c r="G104" s="3"/>
      <c r="H104" s="11"/>
      <c r="I104" s="3"/>
      <c r="J104" s="3"/>
      <c r="K104" s="3"/>
      <c r="L104" s="3"/>
      <c r="M104" s="3"/>
      <c r="N104" s="3"/>
      <c r="O104" s="3"/>
      <c r="P104" s="3"/>
      <c r="Q104" s="3"/>
      <c r="R104" s="3"/>
      <c r="S104" s="3"/>
      <c r="T104" s="3"/>
      <c r="U104" s="3"/>
      <c r="V104" s="3"/>
      <c r="W104" s="3"/>
      <c r="X104" s="3"/>
      <c r="Y104" s="3"/>
      <c r="Z104" s="3"/>
    </row>
    <row r="105" spans="1:26" ht="15.75" customHeight="1" x14ac:dyDescent="0.3">
      <c r="A105" s="3"/>
      <c r="B105" s="3"/>
      <c r="C105" s="3"/>
      <c r="D105" s="3"/>
      <c r="E105" s="3"/>
      <c r="F105" s="3"/>
      <c r="G105" s="3"/>
      <c r="H105" s="11"/>
      <c r="I105" s="3"/>
      <c r="J105" s="3"/>
      <c r="K105" s="3"/>
      <c r="L105" s="3"/>
      <c r="M105" s="3"/>
      <c r="N105" s="3"/>
      <c r="O105" s="3"/>
      <c r="P105" s="3"/>
      <c r="Q105" s="3"/>
      <c r="R105" s="3"/>
      <c r="S105" s="3"/>
      <c r="T105" s="3"/>
      <c r="U105" s="3"/>
      <c r="V105" s="3"/>
      <c r="W105" s="3"/>
      <c r="X105" s="3"/>
      <c r="Y105" s="3"/>
      <c r="Z105" s="3"/>
    </row>
    <row r="106" spans="1:26" ht="15.75" customHeight="1" x14ac:dyDescent="0.3">
      <c r="A106" s="3"/>
      <c r="B106" s="3"/>
      <c r="C106" s="3"/>
      <c r="D106" s="3"/>
      <c r="E106" s="3"/>
      <c r="F106" s="3"/>
      <c r="G106" s="3"/>
      <c r="H106" s="11"/>
      <c r="I106" s="3"/>
      <c r="J106" s="3"/>
      <c r="K106" s="3"/>
      <c r="L106" s="3"/>
      <c r="M106" s="3"/>
      <c r="N106" s="3"/>
      <c r="O106" s="3"/>
      <c r="P106" s="3"/>
      <c r="Q106" s="3"/>
      <c r="R106" s="3"/>
      <c r="S106" s="3"/>
      <c r="T106" s="3"/>
      <c r="U106" s="3"/>
      <c r="V106" s="3"/>
      <c r="W106" s="3"/>
      <c r="X106" s="3"/>
      <c r="Y106" s="3"/>
      <c r="Z106" s="3"/>
    </row>
    <row r="107" spans="1:26" ht="15.75" customHeight="1" x14ac:dyDescent="0.3">
      <c r="A107" s="3"/>
      <c r="B107" s="3"/>
      <c r="C107" s="3"/>
      <c r="D107" s="3"/>
      <c r="E107" s="3"/>
      <c r="F107" s="3"/>
      <c r="G107" s="3"/>
      <c r="H107" s="11"/>
      <c r="I107" s="3"/>
      <c r="J107" s="3"/>
      <c r="K107" s="3"/>
      <c r="L107" s="3"/>
      <c r="M107" s="3"/>
      <c r="N107" s="3"/>
      <c r="O107" s="3"/>
      <c r="P107" s="3"/>
      <c r="Q107" s="3"/>
      <c r="R107" s="3"/>
      <c r="S107" s="3"/>
      <c r="T107" s="3"/>
      <c r="U107" s="3"/>
      <c r="V107" s="3"/>
      <c r="W107" s="3"/>
      <c r="X107" s="3"/>
      <c r="Y107" s="3"/>
      <c r="Z107" s="3"/>
    </row>
    <row r="108" spans="1:26" ht="15.75" customHeight="1" x14ac:dyDescent="0.3">
      <c r="A108" s="3"/>
      <c r="B108" s="3"/>
      <c r="C108" s="3"/>
      <c r="D108" s="3"/>
      <c r="E108" s="3"/>
      <c r="F108" s="3"/>
      <c r="G108" s="3"/>
      <c r="H108" s="11"/>
      <c r="I108" s="3"/>
      <c r="J108" s="3"/>
      <c r="K108" s="3"/>
      <c r="L108" s="3"/>
      <c r="M108" s="3"/>
      <c r="N108" s="3"/>
      <c r="O108" s="3"/>
      <c r="P108" s="3"/>
      <c r="Q108" s="3"/>
      <c r="R108" s="3"/>
      <c r="S108" s="3"/>
      <c r="T108" s="3"/>
      <c r="U108" s="3"/>
      <c r="V108" s="3"/>
      <c r="W108" s="3"/>
      <c r="X108" s="3"/>
      <c r="Y108" s="3"/>
      <c r="Z108" s="3"/>
    </row>
    <row r="109" spans="1:26" ht="15.75" customHeight="1" x14ac:dyDescent="0.3">
      <c r="A109" s="3"/>
      <c r="B109" s="3"/>
      <c r="C109" s="3"/>
      <c r="D109" s="3"/>
      <c r="E109" s="3"/>
      <c r="F109" s="3"/>
      <c r="G109" s="3"/>
      <c r="H109" s="11"/>
      <c r="I109" s="3"/>
      <c r="J109" s="3"/>
      <c r="K109" s="3"/>
      <c r="L109" s="3"/>
      <c r="M109" s="3"/>
      <c r="N109" s="3"/>
      <c r="O109" s="3"/>
      <c r="P109" s="3"/>
      <c r="Q109" s="3"/>
      <c r="R109" s="3"/>
      <c r="S109" s="3"/>
      <c r="T109" s="3"/>
      <c r="U109" s="3"/>
      <c r="V109" s="3"/>
      <c r="W109" s="3"/>
      <c r="X109" s="3"/>
      <c r="Y109" s="3"/>
      <c r="Z109" s="3"/>
    </row>
    <row r="110" spans="1:26" ht="15.75" customHeight="1" x14ac:dyDescent="0.3">
      <c r="A110" s="3"/>
      <c r="B110" s="3"/>
      <c r="C110" s="3"/>
      <c r="D110" s="3"/>
      <c r="E110" s="3"/>
      <c r="F110" s="3"/>
      <c r="G110" s="3"/>
      <c r="H110" s="11"/>
      <c r="I110" s="3"/>
      <c r="J110" s="3"/>
      <c r="K110" s="3"/>
      <c r="L110" s="3"/>
      <c r="M110" s="3"/>
      <c r="N110" s="3"/>
      <c r="O110" s="3"/>
      <c r="P110" s="3"/>
      <c r="Q110" s="3"/>
      <c r="R110" s="3"/>
      <c r="S110" s="3"/>
      <c r="T110" s="3"/>
      <c r="U110" s="3"/>
      <c r="V110" s="3"/>
      <c r="W110" s="3"/>
      <c r="X110" s="3"/>
      <c r="Y110" s="3"/>
      <c r="Z110" s="3"/>
    </row>
    <row r="111" spans="1:26" ht="15.75" customHeight="1" x14ac:dyDescent="0.3">
      <c r="A111" s="3"/>
      <c r="B111" s="3"/>
      <c r="C111" s="3"/>
      <c r="D111" s="3"/>
      <c r="E111" s="3"/>
      <c r="F111" s="3"/>
      <c r="G111" s="3"/>
      <c r="H111" s="11"/>
      <c r="I111" s="3"/>
      <c r="J111" s="3"/>
      <c r="K111" s="3"/>
      <c r="L111" s="3"/>
      <c r="M111" s="3"/>
      <c r="N111" s="3"/>
      <c r="O111" s="3"/>
      <c r="P111" s="3"/>
      <c r="Q111" s="3"/>
      <c r="R111" s="3"/>
      <c r="S111" s="3"/>
      <c r="T111" s="3"/>
      <c r="U111" s="3"/>
      <c r="V111" s="3"/>
      <c r="W111" s="3"/>
      <c r="X111" s="3"/>
      <c r="Y111" s="3"/>
      <c r="Z111" s="3"/>
    </row>
    <row r="112" spans="1:26" ht="15.75" customHeight="1" x14ac:dyDescent="0.3">
      <c r="A112" s="3"/>
      <c r="B112" s="3"/>
      <c r="C112" s="3"/>
      <c r="D112" s="3"/>
      <c r="E112" s="3"/>
      <c r="F112" s="3"/>
      <c r="G112" s="3"/>
      <c r="H112" s="11"/>
      <c r="I112" s="3"/>
      <c r="J112" s="3"/>
      <c r="K112" s="3"/>
      <c r="L112" s="3"/>
      <c r="M112" s="3"/>
      <c r="N112" s="3"/>
      <c r="O112" s="3"/>
      <c r="P112" s="3"/>
      <c r="Q112" s="3"/>
      <c r="R112" s="3"/>
      <c r="S112" s="3"/>
      <c r="T112" s="3"/>
      <c r="U112" s="3"/>
      <c r="V112" s="3"/>
      <c r="W112" s="3"/>
      <c r="X112" s="3"/>
      <c r="Y112" s="3"/>
      <c r="Z112" s="3"/>
    </row>
    <row r="113" spans="1:26" ht="15.75" customHeight="1" x14ac:dyDescent="0.3">
      <c r="A113" s="3"/>
      <c r="B113" s="3"/>
      <c r="C113" s="3"/>
      <c r="D113" s="3"/>
      <c r="E113" s="3"/>
      <c r="F113" s="3"/>
      <c r="G113" s="3"/>
      <c r="H113" s="11"/>
      <c r="I113" s="3"/>
      <c r="J113" s="3"/>
      <c r="K113" s="3"/>
      <c r="L113" s="3"/>
      <c r="M113" s="3"/>
      <c r="N113" s="3"/>
      <c r="O113" s="3"/>
      <c r="P113" s="3"/>
      <c r="Q113" s="3"/>
      <c r="R113" s="3"/>
      <c r="S113" s="3"/>
      <c r="T113" s="3"/>
      <c r="U113" s="3"/>
      <c r="V113" s="3"/>
      <c r="W113" s="3"/>
      <c r="X113" s="3"/>
      <c r="Y113" s="3"/>
      <c r="Z113" s="3"/>
    </row>
    <row r="114" spans="1:26" ht="15.75" customHeight="1" x14ac:dyDescent="0.3">
      <c r="A114" s="3"/>
      <c r="B114" s="3"/>
      <c r="C114" s="3"/>
      <c r="D114" s="3"/>
      <c r="E114" s="3"/>
      <c r="F114" s="3"/>
      <c r="G114" s="3"/>
      <c r="H114" s="11"/>
      <c r="I114" s="3"/>
      <c r="J114" s="3"/>
      <c r="K114" s="3"/>
      <c r="L114" s="3"/>
      <c r="M114" s="3"/>
      <c r="N114" s="3"/>
      <c r="O114" s="3"/>
      <c r="P114" s="3"/>
      <c r="Q114" s="3"/>
      <c r="R114" s="3"/>
      <c r="S114" s="3"/>
      <c r="T114" s="3"/>
      <c r="U114" s="3"/>
      <c r="V114" s="3"/>
      <c r="W114" s="3"/>
      <c r="X114" s="3"/>
      <c r="Y114" s="3"/>
      <c r="Z114" s="3"/>
    </row>
    <row r="115" spans="1:26" ht="15.75" customHeight="1" x14ac:dyDescent="0.3">
      <c r="A115" s="3"/>
      <c r="B115" s="3"/>
      <c r="C115" s="3"/>
      <c r="D115" s="3"/>
      <c r="E115" s="3"/>
      <c r="F115" s="3"/>
      <c r="G115" s="3"/>
      <c r="H115" s="11"/>
      <c r="I115" s="3"/>
      <c r="J115" s="3"/>
      <c r="K115" s="3"/>
      <c r="L115" s="3"/>
      <c r="M115" s="3"/>
      <c r="N115" s="3"/>
      <c r="O115" s="3"/>
      <c r="P115" s="3"/>
      <c r="Q115" s="3"/>
      <c r="R115" s="3"/>
      <c r="S115" s="3"/>
      <c r="T115" s="3"/>
      <c r="U115" s="3"/>
      <c r="V115" s="3"/>
      <c r="W115" s="3"/>
      <c r="X115" s="3"/>
      <c r="Y115" s="3"/>
      <c r="Z115" s="3"/>
    </row>
    <row r="116" spans="1:26" ht="15.75" customHeight="1" x14ac:dyDescent="0.3">
      <c r="A116" s="3"/>
      <c r="B116" s="3"/>
      <c r="C116" s="3"/>
      <c r="D116" s="3"/>
      <c r="E116" s="3"/>
      <c r="F116" s="3"/>
      <c r="G116" s="3"/>
      <c r="H116" s="11"/>
      <c r="I116" s="3"/>
      <c r="J116" s="3"/>
      <c r="K116" s="3"/>
      <c r="L116" s="3"/>
      <c r="M116" s="3"/>
      <c r="N116" s="3"/>
      <c r="O116" s="3"/>
      <c r="P116" s="3"/>
      <c r="Q116" s="3"/>
      <c r="R116" s="3"/>
      <c r="S116" s="3"/>
      <c r="T116" s="3"/>
      <c r="U116" s="3"/>
      <c r="V116" s="3"/>
      <c r="W116" s="3"/>
      <c r="X116" s="3"/>
      <c r="Y116" s="3"/>
      <c r="Z116" s="3"/>
    </row>
    <row r="117" spans="1:26" ht="15.75" customHeight="1" x14ac:dyDescent="0.3">
      <c r="A117" s="3"/>
      <c r="B117" s="3"/>
      <c r="C117" s="3"/>
      <c r="D117" s="3"/>
      <c r="E117" s="3"/>
      <c r="F117" s="3"/>
      <c r="G117" s="3"/>
      <c r="H117" s="11"/>
      <c r="I117" s="3"/>
      <c r="J117" s="3"/>
      <c r="K117" s="3"/>
      <c r="L117" s="3"/>
      <c r="M117" s="3"/>
      <c r="N117" s="3"/>
      <c r="O117" s="3"/>
      <c r="P117" s="3"/>
      <c r="Q117" s="3"/>
      <c r="R117" s="3"/>
      <c r="S117" s="3"/>
      <c r="T117" s="3"/>
      <c r="U117" s="3"/>
      <c r="V117" s="3"/>
      <c r="W117" s="3"/>
      <c r="X117" s="3"/>
      <c r="Y117" s="3"/>
      <c r="Z117" s="3"/>
    </row>
    <row r="118" spans="1:26" ht="15.75" customHeight="1" x14ac:dyDescent="0.3">
      <c r="A118" s="3"/>
      <c r="B118" s="3"/>
      <c r="C118" s="3"/>
      <c r="D118" s="3"/>
      <c r="E118" s="3"/>
      <c r="F118" s="3"/>
      <c r="G118" s="3"/>
      <c r="H118" s="11"/>
      <c r="I118" s="3"/>
      <c r="J118" s="3"/>
      <c r="K118" s="3"/>
      <c r="L118" s="3"/>
      <c r="M118" s="3"/>
      <c r="N118" s="3"/>
      <c r="O118" s="3"/>
      <c r="P118" s="3"/>
      <c r="Q118" s="3"/>
      <c r="R118" s="3"/>
      <c r="S118" s="3"/>
      <c r="T118" s="3"/>
      <c r="U118" s="3"/>
      <c r="V118" s="3"/>
      <c r="W118" s="3"/>
      <c r="X118" s="3"/>
      <c r="Y118" s="3"/>
      <c r="Z118" s="3"/>
    </row>
    <row r="119" spans="1:26" ht="15.75" customHeight="1" x14ac:dyDescent="0.3">
      <c r="A119" s="3"/>
      <c r="B119" s="3"/>
      <c r="C119" s="3"/>
      <c r="D119" s="3"/>
      <c r="E119" s="3"/>
      <c r="F119" s="3"/>
      <c r="G119" s="3"/>
      <c r="H119" s="11"/>
      <c r="I119" s="3"/>
      <c r="J119" s="3"/>
      <c r="K119" s="3"/>
      <c r="L119" s="3"/>
      <c r="M119" s="3"/>
      <c r="N119" s="3"/>
      <c r="O119" s="3"/>
      <c r="P119" s="3"/>
      <c r="Q119" s="3"/>
      <c r="R119" s="3"/>
      <c r="S119" s="3"/>
      <c r="T119" s="3"/>
      <c r="U119" s="3"/>
      <c r="V119" s="3"/>
      <c r="W119" s="3"/>
      <c r="X119" s="3"/>
      <c r="Y119" s="3"/>
      <c r="Z119" s="3"/>
    </row>
    <row r="120" spans="1:26" ht="15.75" customHeight="1" x14ac:dyDescent="0.3">
      <c r="A120" s="3"/>
      <c r="B120" s="3"/>
      <c r="C120" s="3"/>
      <c r="D120" s="3"/>
      <c r="E120" s="3"/>
      <c r="F120" s="3"/>
      <c r="G120" s="3"/>
      <c r="H120" s="11"/>
      <c r="I120" s="3"/>
      <c r="J120" s="3"/>
      <c r="K120" s="3"/>
      <c r="L120" s="3"/>
      <c r="M120" s="3"/>
      <c r="N120" s="3"/>
      <c r="O120" s="3"/>
      <c r="P120" s="3"/>
      <c r="Q120" s="3"/>
      <c r="R120" s="3"/>
      <c r="S120" s="3"/>
      <c r="T120" s="3"/>
      <c r="U120" s="3"/>
      <c r="V120" s="3"/>
      <c r="W120" s="3"/>
      <c r="X120" s="3"/>
      <c r="Y120" s="3"/>
      <c r="Z120" s="3"/>
    </row>
    <row r="121" spans="1:26" ht="15.75" customHeight="1" x14ac:dyDescent="0.3">
      <c r="A121" s="3"/>
      <c r="B121" s="3"/>
      <c r="C121" s="3"/>
      <c r="D121" s="3"/>
      <c r="E121" s="3"/>
      <c r="F121" s="3"/>
      <c r="G121" s="3"/>
      <c r="H121" s="11"/>
      <c r="I121" s="3"/>
      <c r="J121" s="3"/>
      <c r="K121" s="3"/>
      <c r="L121" s="3"/>
      <c r="M121" s="3"/>
      <c r="N121" s="3"/>
      <c r="O121" s="3"/>
      <c r="P121" s="3"/>
      <c r="Q121" s="3"/>
      <c r="R121" s="3"/>
      <c r="S121" s="3"/>
      <c r="T121" s="3"/>
      <c r="U121" s="3"/>
      <c r="V121" s="3"/>
      <c r="W121" s="3"/>
      <c r="X121" s="3"/>
      <c r="Y121" s="3"/>
      <c r="Z121" s="3"/>
    </row>
    <row r="122" spans="1:26" ht="15.75" customHeight="1" x14ac:dyDescent="0.3">
      <c r="A122" s="3"/>
      <c r="B122" s="3"/>
      <c r="C122" s="3"/>
      <c r="D122" s="3"/>
      <c r="E122" s="3"/>
      <c r="F122" s="3"/>
      <c r="G122" s="3"/>
      <c r="H122" s="11"/>
      <c r="I122" s="3"/>
      <c r="J122" s="3"/>
      <c r="K122" s="3"/>
      <c r="L122" s="3"/>
      <c r="M122" s="3"/>
      <c r="N122" s="3"/>
      <c r="O122" s="3"/>
      <c r="P122" s="3"/>
      <c r="Q122" s="3"/>
      <c r="R122" s="3"/>
      <c r="S122" s="3"/>
      <c r="T122" s="3"/>
      <c r="U122" s="3"/>
      <c r="V122" s="3"/>
      <c r="W122" s="3"/>
      <c r="X122" s="3"/>
      <c r="Y122" s="3"/>
      <c r="Z122" s="3"/>
    </row>
    <row r="123" spans="1:26" ht="15.75" customHeight="1" x14ac:dyDescent="0.3">
      <c r="A123" s="3"/>
      <c r="B123" s="3"/>
      <c r="C123" s="3"/>
      <c r="D123" s="3"/>
      <c r="E123" s="3"/>
      <c r="F123" s="3"/>
      <c r="G123" s="3"/>
      <c r="H123" s="11"/>
      <c r="I123" s="3"/>
      <c r="J123" s="3"/>
      <c r="K123" s="3"/>
      <c r="L123" s="3"/>
      <c r="M123" s="3"/>
      <c r="N123" s="3"/>
      <c r="O123" s="3"/>
      <c r="P123" s="3"/>
      <c r="Q123" s="3"/>
      <c r="R123" s="3"/>
      <c r="S123" s="3"/>
      <c r="T123" s="3"/>
      <c r="U123" s="3"/>
      <c r="V123" s="3"/>
      <c r="W123" s="3"/>
      <c r="X123" s="3"/>
      <c r="Y123" s="3"/>
      <c r="Z123" s="3"/>
    </row>
    <row r="124" spans="1:26" ht="15.75" customHeight="1" x14ac:dyDescent="0.3">
      <c r="A124" s="3"/>
      <c r="B124" s="3"/>
      <c r="C124" s="3"/>
      <c r="D124" s="3"/>
      <c r="E124" s="3"/>
      <c r="F124" s="3"/>
      <c r="G124" s="3"/>
      <c r="H124" s="11"/>
      <c r="I124" s="3"/>
      <c r="J124" s="3"/>
      <c r="K124" s="3"/>
      <c r="L124" s="3"/>
      <c r="M124" s="3"/>
      <c r="N124" s="3"/>
      <c r="O124" s="3"/>
      <c r="P124" s="3"/>
      <c r="Q124" s="3"/>
      <c r="R124" s="3"/>
      <c r="S124" s="3"/>
      <c r="T124" s="3"/>
      <c r="U124" s="3"/>
      <c r="V124" s="3"/>
      <c r="W124" s="3"/>
      <c r="X124" s="3"/>
      <c r="Y124" s="3"/>
      <c r="Z124" s="3"/>
    </row>
    <row r="125" spans="1:26" ht="15.75" customHeight="1" x14ac:dyDescent="0.3">
      <c r="A125" s="3"/>
      <c r="B125" s="3"/>
      <c r="C125" s="3"/>
      <c r="D125" s="3"/>
      <c r="E125" s="3"/>
      <c r="F125" s="3"/>
      <c r="G125" s="3"/>
      <c r="H125" s="11"/>
      <c r="I125" s="3"/>
      <c r="J125" s="3"/>
      <c r="K125" s="3"/>
      <c r="L125" s="3"/>
      <c r="M125" s="3"/>
      <c r="N125" s="3"/>
      <c r="O125" s="3"/>
      <c r="P125" s="3"/>
      <c r="Q125" s="3"/>
      <c r="R125" s="3"/>
      <c r="S125" s="3"/>
      <c r="T125" s="3"/>
      <c r="U125" s="3"/>
      <c r="V125" s="3"/>
      <c r="W125" s="3"/>
      <c r="X125" s="3"/>
      <c r="Y125" s="3"/>
      <c r="Z125" s="3"/>
    </row>
    <row r="126" spans="1:26" ht="15.75" customHeight="1" x14ac:dyDescent="0.3">
      <c r="A126" s="3"/>
      <c r="B126" s="3"/>
      <c r="C126" s="3"/>
      <c r="D126" s="3"/>
      <c r="E126" s="3"/>
      <c r="F126" s="3"/>
      <c r="G126" s="3"/>
      <c r="H126" s="11"/>
      <c r="I126" s="3"/>
      <c r="J126" s="3"/>
      <c r="K126" s="3"/>
      <c r="L126" s="3"/>
      <c r="M126" s="3"/>
      <c r="N126" s="3"/>
      <c r="O126" s="3"/>
      <c r="P126" s="3"/>
      <c r="Q126" s="3"/>
      <c r="R126" s="3"/>
      <c r="S126" s="3"/>
      <c r="T126" s="3"/>
      <c r="U126" s="3"/>
      <c r="V126" s="3"/>
      <c r="W126" s="3"/>
      <c r="X126" s="3"/>
      <c r="Y126" s="3"/>
      <c r="Z126" s="3"/>
    </row>
    <row r="127" spans="1:26" ht="15.75" customHeight="1" x14ac:dyDescent="0.3">
      <c r="A127" s="3"/>
      <c r="B127" s="3"/>
      <c r="C127" s="3"/>
      <c r="D127" s="3"/>
      <c r="E127" s="3"/>
      <c r="F127" s="3"/>
      <c r="G127" s="3"/>
      <c r="H127" s="11"/>
      <c r="I127" s="3"/>
      <c r="J127" s="3"/>
      <c r="K127" s="3"/>
      <c r="L127" s="3"/>
      <c r="M127" s="3"/>
      <c r="N127" s="3"/>
      <c r="O127" s="3"/>
      <c r="P127" s="3"/>
      <c r="Q127" s="3"/>
      <c r="R127" s="3"/>
      <c r="S127" s="3"/>
      <c r="T127" s="3"/>
      <c r="U127" s="3"/>
      <c r="V127" s="3"/>
      <c r="W127" s="3"/>
      <c r="X127" s="3"/>
      <c r="Y127" s="3"/>
      <c r="Z127" s="3"/>
    </row>
    <row r="128" spans="1:26" ht="15.75" customHeight="1" x14ac:dyDescent="0.3">
      <c r="A128" s="3"/>
      <c r="B128" s="3"/>
      <c r="C128" s="3"/>
      <c r="D128" s="3"/>
      <c r="E128" s="3"/>
      <c r="F128" s="3"/>
      <c r="G128" s="3"/>
      <c r="H128" s="11"/>
      <c r="I128" s="3"/>
      <c r="J128" s="3"/>
      <c r="K128" s="3"/>
      <c r="L128" s="3"/>
      <c r="M128" s="3"/>
      <c r="N128" s="3"/>
      <c r="O128" s="3"/>
      <c r="P128" s="3"/>
      <c r="Q128" s="3"/>
      <c r="R128" s="3"/>
      <c r="S128" s="3"/>
      <c r="T128" s="3"/>
      <c r="U128" s="3"/>
      <c r="V128" s="3"/>
      <c r="W128" s="3"/>
      <c r="X128" s="3"/>
      <c r="Y128" s="3"/>
      <c r="Z128" s="3"/>
    </row>
    <row r="129" spans="1:26" ht="15.75" customHeight="1" x14ac:dyDescent="0.3">
      <c r="A129" s="3"/>
      <c r="B129" s="3"/>
      <c r="C129" s="3"/>
      <c r="D129" s="3"/>
      <c r="E129" s="3"/>
      <c r="F129" s="3"/>
      <c r="G129" s="3"/>
      <c r="H129" s="11"/>
      <c r="I129" s="3"/>
      <c r="J129" s="3"/>
      <c r="K129" s="3"/>
      <c r="L129" s="3"/>
      <c r="M129" s="3"/>
      <c r="N129" s="3"/>
      <c r="O129" s="3"/>
      <c r="P129" s="3"/>
      <c r="Q129" s="3"/>
      <c r="R129" s="3"/>
      <c r="S129" s="3"/>
      <c r="T129" s="3"/>
      <c r="U129" s="3"/>
      <c r="V129" s="3"/>
      <c r="W129" s="3"/>
      <c r="X129" s="3"/>
      <c r="Y129" s="3"/>
      <c r="Z129" s="3"/>
    </row>
    <row r="130" spans="1:26" ht="15.75" customHeight="1" x14ac:dyDescent="0.3">
      <c r="A130" s="3"/>
      <c r="B130" s="3"/>
      <c r="C130" s="3"/>
      <c r="D130" s="3"/>
      <c r="E130" s="3"/>
      <c r="F130" s="3"/>
      <c r="G130" s="3"/>
      <c r="H130" s="11"/>
      <c r="I130" s="3"/>
      <c r="J130" s="3"/>
      <c r="K130" s="3"/>
      <c r="L130" s="3"/>
      <c r="M130" s="3"/>
      <c r="N130" s="3"/>
      <c r="O130" s="3"/>
      <c r="P130" s="3"/>
      <c r="Q130" s="3"/>
      <c r="R130" s="3"/>
      <c r="S130" s="3"/>
      <c r="T130" s="3"/>
      <c r="U130" s="3"/>
      <c r="V130" s="3"/>
      <c r="W130" s="3"/>
      <c r="X130" s="3"/>
      <c r="Y130" s="3"/>
      <c r="Z130" s="3"/>
    </row>
    <row r="131" spans="1:26" ht="15.75" customHeight="1" x14ac:dyDescent="0.3">
      <c r="A131" s="3"/>
      <c r="B131" s="3"/>
      <c r="C131" s="3"/>
      <c r="D131" s="3"/>
      <c r="E131" s="3"/>
      <c r="F131" s="3"/>
      <c r="G131" s="3"/>
      <c r="H131" s="11"/>
      <c r="I131" s="3"/>
      <c r="J131" s="3"/>
      <c r="K131" s="3"/>
      <c r="L131" s="3"/>
      <c r="M131" s="3"/>
      <c r="N131" s="3"/>
      <c r="O131" s="3"/>
      <c r="P131" s="3"/>
      <c r="Q131" s="3"/>
      <c r="R131" s="3"/>
      <c r="S131" s="3"/>
      <c r="T131" s="3"/>
      <c r="U131" s="3"/>
      <c r="V131" s="3"/>
      <c r="W131" s="3"/>
      <c r="X131" s="3"/>
      <c r="Y131" s="3"/>
      <c r="Z131" s="3"/>
    </row>
    <row r="132" spans="1:26" ht="15.75" customHeight="1" x14ac:dyDescent="0.3">
      <c r="A132" s="3"/>
      <c r="B132" s="3"/>
      <c r="C132" s="3"/>
      <c r="D132" s="3"/>
      <c r="E132" s="3"/>
      <c r="F132" s="3"/>
      <c r="G132" s="3"/>
      <c r="H132" s="11"/>
      <c r="I132" s="3"/>
      <c r="J132" s="3"/>
      <c r="K132" s="3"/>
      <c r="L132" s="3"/>
      <c r="M132" s="3"/>
      <c r="N132" s="3"/>
      <c r="O132" s="3"/>
      <c r="P132" s="3"/>
      <c r="Q132" s="3"/>
      <c r="R132" s="3"/>
      <c r="S132" s="3"/>
      <c r="T132" s="3"/>
      <c r="U132" s="3"/>
      <c r="V132" s="3"/>
      <c r="W132" s="3"/>
      <c r="X132" s="3"/>
      <c r="Y132" s="3"/>
      <c r="Z132" s="3"/>
    </row>
    <row r="133" spans="1:26" ht="15.75" customHeight="1" x14ac:dyDescent="0.3">
      <c r="A133" s="3"/>
      <c r="B133" s="3"/>
      <c r="C133" s="3"/>
      <c r="D133" s="3"/>
      <c r="E133" s="3"/>
      <c r="F133" s="3"/>
      <c r="G133" s="3"/>
      <c r="H133" s="11"/>
      <c r="I133" s="3"/>
      <c r="J133" s="3"/>
      <c r="K133" s="3"/>
      <c r="L133" s="3"/>
      <c r="M133" s="3"/>
      <c r="N133" s="3"/>
      <c r="O133" s="3"/>
      <c r="P133" s="3"/>
      <c r="Q133" s="3"/>
      <c r="R133" s="3"/>
      <c r="S133" s="3"/>
      <c r="T133" s="3"/>
      <c r="U133" s="3"/>
      <c r="V133" s="3"/>
      <c r="W133" s="3"/>
      <c r="X133" s="3"/>
      <c r="Y133" s="3"/>
      <c r="Z133" s="3"/>
    </row>
    <row r="134" spans="1:26" ht="15.75" customHeight="1" x14ac:dyDescent="0.3">
      <c r="A134" s="3"/>
      <c r="B134" s="3"/>
      <c r="C134" s="3"/>
      <c r="D134" s="3"/>
      <c r="E134" s="3"/>
      <c r="F134" s="3"/>
      <c r="G134" s="3"/>
      <c r="H134" s="11"/>
      <c r="I134" s="3"/>
      <c r="J134" s="3"/>
      <c r="K134" s="3"/>
      <c r="L134" s="3"/>
      <c r="M134" s="3"/>
      <c r="N134" s="3"/>
      <c r="O134" s="3"/>
      <c r="P134" s="3"/>
      <c r="Q134" s="3"/>
      <c r="R134" s="3"/>
      <c r="S134" s="3"/>
      <c r="T134" s="3"/>
      <c r="U134" s="3"/>
      <c r="V134" s="3"/>
      <c r="W134" s="3"/>
      <c r="X134" s="3"/>
      <c r="Y134" s="3"/>
      <c r="Z134" s="3"/>
    </row>
    <row r="135" spans="1:26" ht="15.75" customHeight="1" x14ac:dyDescent="0.3">
      <c r="A135" s="3"/>
      <c r="B135" s="3"/>
      <c r="C135" s="3"/>
      <c r="D135" s="3"/>
      <c r="E135" s="3"/>
      <c r="F135" s="3"/>
      <c r="G135" s="3"/>
      <c r="H135" s="11"/>
      <c r="I135" s="3"/>
      <c r="J135" s="3"/>
      <c r="K135" s="3"/>
      <c r="L135" s="3"/>
      <c r="M135" s="3"/>
      <c r="N135" s="3"/>
      <c r="O135" s="3"/>
      <c r="P135" s="3"/>
      <c r="Q135" s="3"/>
      <c r="R135" s="3"/>
      <c r="S135" s="3"/>
      <c r="T135" s="3"/>
      <c r="U135" s="3"/>
      <c r="V135" s="3"/>
      <c r="W135" s="3"/>
      <c r="X135" s="3"/>
      <c r="Y135" s="3"/>
      <c r="Z135" s="3"/>
    </row>
    <row r="136" spans="1:26" ht="15.75" customHeight="1" x14ac:dyDescent="0.3">
      <c r="A136" s="3"/>
      <c r="B136" s="3"/>
      <c r="C136" s="3"/>
      <c r="D136" s="3"/>
      <c r="E136" s="3"/>
      <c r="F136" s="3"/>
      <c r="G136" s="3"/>
      <c r="H136" s="11"/>
      <c r="I136" s="3"/>
      <c r="J136" s="3"/>
      <c r="K136" s="3"/>
      <c r="L136" s="3"/>
      <c r="M136" s="3"/>
      <c r="N136" s="3"/>
      <c r="O136" s="3"/>
      <c r="P136" s="3"/>
      <c r="Q136" s="3"/>
      <c r="R136" s="3"/>
      <c r="S136" s="3"/>
      <c r="T136" s="3"/>
      <c r="U136" s="3"/>
      <c r="V136" s="3"/>
      <c r="W136" s="3"/>
      <c r="X136" s="3"/>
      <c r="Y136" s="3"/>
      <c r="Z136" s="3"/>
    </row>
    <row r="137" spans="1:26" ht="15.75" customHeight="1" x14ac:dyDescent="0.3">
      <c r="A137" s="3"/>
      <c r="B137" s="3"/>
      <c r="C137" s="3"/>
      <c r="D137" s="3"/>
      <c r="E137" s="3"/>
      <c r="F137" s="3"/>
      <c r="G137" s="3"/>
      <c r="H137" s="11"/>
      <c r="I137" s="3"/>
      <c r="J137" s="3"/>
      <c r="K137" s="3"/>
      <c r="L137" s="3"/>
      <c r="M137" s="3"/>
      <c r="N137" s="3"/>
      <c r="O137" s="3"/>
      <c r="P137" s="3"/>
      <c r="Q137" s="3"/>
      <c r="R137" s="3"/>
      <c r="S137" s="3"/>
      <c r="T137" s="3"/>
      <c r="U137" s="3"/>
      <c r="V137" s="3"/>
      <c r="W137" s="3"/>
      <c r="X137" s="3"/>
      <c r="Y137" s="3"/>
      <c r="Z137" s="3"/>
    </row>
    <row r="138" spans="1:26" ht="15.75" customHeight="1" x14ac:dyDescent="0.3">
      <c r="A138" s="3"/>
      <c r="B138" s="3"/>
      <c r="C138" s="3"/>
      <c r="D138" s="3"/>
      <c r="E138" s="3"/>
      <c r="F138" s="3"/>
      <c r="G138" s="3"/>
      <c r="H138" s="11"/>
      <c r="I138" s="3"/>
      <c r="J138" s="3"/>
      <c r="K138" s="3"/>
      <c r="L138" s="3"/>
      <c r="M138" s="3"/>
      <c r="N138" s="3"/>
      <c r="O138" s="3"/>
      <c r="P138" s="3"/>
      <c r="Q138" s="3"/>
      <c r="R138" s="3"/>
      <c r="S138" s="3"/>
      <c r="T138" s="3"/>
      <c r="U138" s="3"/>
      <c r="V138" s="3"/>
      <c r="W138" s="3"/>
      <c r="X138" s="3"/>
      <c r="Y138" s="3"/>
      <c r="Z138" s="3"/>
    </row>
    <row r="139" spans="1:26" ht="15.75" customHeight="1" x14ac:dyDescent="0.3">
      <c r="A139" s="3"/>
      <c r="B139" s="3"/>
      <c r="C139" s="3"/>
      <c r="D139" s="3"/>
      <c r="E139" s="3"/>
      <c r="F139" s="3"/>
      <c r="G139" s="3"/>
      <c r="H139" s="11"/>
      <c r="I139" s="3"/>
      <c r="J139" s="3"/>
      <c r="K139" s="3"/>
      <c r="L139" s="3"/>
      <c r="M139" s="3"/>
      <c r="N139" s="3"/>
      <c r="O139" s="3"/>
      <c r="P139" s="3"/>
      <c r="Q139" s="3"/>
      <c r="R139" s="3"/>
      <c r="S139" s="3"/>
      <c r="T139" s="3"/>
      <c r="U139" s="3"/>
      <c r="V139" s="3"/>
      <c r="W139" s="3"/>
      <c r="X139" s="3"/>
      <c r="Y139" s="3"/>
      <c r="Z139" s="3"/>
    </row>
    <row r="140" spans="1:26" ht="15.75" customHeight="1" x14ac:dyDescent="0.3">
      <c r="A140" s="3"/>
      <c r="B140" s="3"/>
      <c r="C140" s="3"/>
      <c r="D140" s="3"/>
      <c r="E140" s="3"/>
      <c r="F140" s="3"/>
      <c r="G140" s="3"/>
      <c r="H140" s="11"/>
      <c r="I140" s="3"/>
      <c r="J140" s="3"/>
      <c r="K140" s="3"/>
      <c r="L140" s="3"/>
      <c r="M140" s="3"/>
      <c r="N140" s="3"/>
      <c r="O140" s="3"/>
      <c r="P140" s="3"/>
      <c r="Q140" s="3"/>
      <c r="R140" s="3"/>
      <c r="S140" s="3"/>
      <c r="T140" s="3"/>
      <c r="U140" s="3"/>
      <c r="V140" s="3"/>
      <c r="W140" s="3"/>
      <c r="X140" s="3"/>
      <c r="Y140" s="3"/>
      <c r="Z140" s="3"/>
    </row>
    <row r="141" spans="1:26" ht="15.75" customHeight="1" x14ac:dyDescent="0.3">
      <c r="A141" s="3"/>
      <c r="B141" s="3"/>
      <c r="C141" s="3"/>
      <c r="D141" s="3"/>
      <c r="E141" s="3"/>
      <c r="F141" s="3"/>
      <c r="G141" s="3"/>
      <c r="H141" s="11"/>
      <c r="I141" s="3"/>
      <c r="J141" s="3"/>
      <c r="K141" s="3"/>
      <c r="L141" s="3"/>
      <c r="M141" s="3"/>
      <c r="N141" s="3"/>
      <c r="O141" s="3"/>
      <c r="P141" s="3"/>
      <c r="Q141" s="3"/>
      <c r="R141" s="3"/>
      <c r="S141" s="3"/>
      <c r="T141" s="3"/>
      <c r="U141" s="3"/>
      <c r="V141" s="3"/>
      <c r="W141" s="3"/>
      <c r="X141" s="3"/>
      <c r="Y141" s="3"/>
      <c r="Z141" s="3"/>
    </row>
    <row r="142" spans="1:26" ht="15.75" customHeight="1" x14ac:dyDescent="0.3">
      <c r="A142" s="3"/>
      <c r="B142" s="3"/>
      <c r="C142" s="3"/>
      <c r="D142" s="3"/>
      <c r="E142" s="3"/>
      <c r="F142" s="3"/>
      <c r="G142" s="3"/>
      <c r="H142" s="11"/>
      <c r="I142" s="3"/>
      <c r="J142" s="3"/>
      <c r="K142" s="3"/>
      <c r="L142" s="3"/>
      <c r="M142" s="3"/>
      <c r="N142" s="3"/>
      <c r="O142" s="3"/>
      <c r="P142" s="3"/>
      <c r="Q142" s="3"/>
      <c r="R142" s="3"/>
      <c r="S142" s="3"/>
      <c r="T142" s="3"/>
      <c r="U142" s="3"/>
      <c r="V142" s="3"/>
      <c r="W142" s="3"/>
      <c r="X142" s="3"/>
      <c r="Y142" s="3"/>
      <c r="Z142" s="3"/>
    </row>
    <row r="143" spans="1:26" ht="15.75" customHeight="1" x14ac:dyDescent="0.3">
      <c r="A143" s="3"/>
      <c r="B143" s="3"/>
      <c r="C143" s="3"/>
      <c r="D143" s="3"/>
      <c r="E143" s="3"/>
      <c r="F143" s="3"/>
      <c r="G143" s="3"/>
      <c r="H143" s="11"/>
      <c r="I143" s="3"/>
      <c r="J143" s="3"/>
      <c r="K143" s="3"/>
      <c r="L143" s="3"/>
      <c r="M143" s="3"/>
      <c r="N143" s="3"/>
      <c r="O143" s="3"/>
      <c r="P143" s="3"/>
      <c r="Q143" s="3"/>
      <c r="R143" s="3"/>
      <c r="S143" s="3"/>
      <c r="T143" s="3"/>
      <c r="U143" s="3"/>
      <c r="V143" s="3"/>
      <c r="W143" s="3"/>
      <c r="X143" s="3"/>
      <c r="Y143" s="3"/>
      <c r="Z143" s="3"/>
    </row>
    <row r="144" spans="1:26" ht="15.75" customHeight="1" x14ac:dyDescent="0.3">
      <c r="A144" s="3"/>
      <c r="B144" s="3"/>
      <c r="C144" s="3"/>
      <c r="D144" s="3"/>
      <c r="E144" s="3"/>
      <c r="F144" s="3"/>
      <c r="G144" s="3"/>
      <c r="H144" s="11"/>
      <c r="I144" s="3"/>
      <c r="J144" s="3"/>
      <c r="K144" s="3"/>
      <c r="L144" s="3"/>
      <c r="M144" s="3"/>
      <c r="N144" s="3"/>
      <c r="O144" s="3"/>
      <c r="P144" s="3"/>
      <c r="Q144" s="3"/>
      <c r="R144" s="3"/>
      <c r="S144" s="3"/>
      <c r="T144" s="3"/>
      <c r="U144" s="3"/>
      <c r="V144" s="3"/>
      <c r="W144" s="3"/>
      <c r="X144" s="3"/>
      <c r="Y144" s="3"/>
      <c r="Z144" s="3"/>
    </row>
    <row r="145" spans="1:26" ht="15.75" customHeight="1" x14ac:dyDescent="0.3">
      <c r="A145" s="3"/>
      <c r="B145" s="3"/>
      <c r="C145" s="3"/>
      <c r="D145" s="3"/>
      <c r="E145" s="3"/>
      <c r="F145" s="3"/>
      <c r="G145" s="3"/>
      <c r="H145" s="11"/>
      <c r="I145" s="3"/>
      <c r="J145" s="3"/>
      <c r="K145" s="3"/>
      <c r="L145" s="3"/>
      <c r="M145" s="3"/>
      <c r="N145" s="3"/>
      <c r="O145" s="3"/>
      <c r="P145" s="3"/>
      <c r="Q145" s="3"/>
      <c r="R145" s="3"/>
      <c r="S145" s="3"/>
      <c r="T145" s="3"/>
      <c r="U145" s="3"/>
      <c r="V145" s="3"/>
      <c r="W145" s="3"/>
      <c r="X145" s="3"/>
      <c r="Y145" s="3"/>
      <c r="Z145" s="3"/>
    </row>
    <row r="146" spans="1:26" ht="15.75" customHeight="1" x14ac:dyDescent="0.3">
      <c r="A146" s="3"/>
      <c r="B146" s="3"/>
      <c r="C146" s="3"/>
      <c r="D146" s="3"/>
      <c r="E146" s="3"/>
      <c r="F146" s="3"/>
      <c r="G146" s="3"/>
      <c r="H146" s="11"/>
      <c r="I146" s="3"/>
      <c r="J146" s="3"/>
      <c r="K146" s="3"/>
      <c r="L146" s="3"/>
      <c r="M146" s="3"/>
      <c r="N146" s="3"/>
      <c r="O146" s="3"/>
      <c r="P146" s="3"/>
      <c r="Q146" s="3"/>
      <c r="R146" s="3"/>
      <c r="S146" s="3"/>
      <c r="T146" s="3"/>
      <c r="U146" s="3"/>
      <c r="V146" s="3"/>
      <c r="W146" s="3"/>
      <c r="X146" s="3"/>
      <c r="Y146" s="3"/>
      <c r="Z146" s="3"/>
    </row>
    <row r="147" spans="1:26" ht="15.75" customHeight="1" x14ac:dyDescent="0.3">
      <c r="A147" s="3"/>
      <c r="B147" s="3"/>
      <c r="C147" s="3"/>
      <c r="D147" s="3"/>
      <c r="E147" s="3"/>
      <c r="F147" s="3"/>
      <c r="G147" s="3"/>
      <c r="H147" s="11"/>
      <c r="I147" s="3"/>
      <c r="J147" s="3"/>
      <c r="K147" s="3"/>
      <c r="L147" s="3"/>
      <c r="M147" s="3"/>
      <c r="N147" s="3"/>
      <c r="O147" s="3"/>
      <c r="P147" s="3"/>
      <c r="Q147" s="3"/>
      <c r="R147" s="3"/>
      <c r="S147" s="3"/>
      <c r="T147" s="3"/>
      <c r="U147" s="3"/>
      <c r="V147" s="3"/>
      <c r="W147" s="3"/>
      <c r="X147" s="3"/>
      <c r="Y147" s="3"/>
      <c r="Z147" s="3"/>
    </row>
    <row r="148" spans="1:26" ht="15.75" customHeight="1" x14ac:dyDescent="0.3">
      <c r="A148" s="3"/>
      <c r="B148" s="3"/>
      <c r="C148" s="3"/>
      <c r="D148" s="3"/>
      <c r="E148" s="3"/>
      <c r="F148" s="3"/>
      <c r="G148" s="3"/>
      <c r="H148" s="11"/>
      <c r="I148" s="3"/>
      <c r="J148" s="3"/>
      <c r="K148" s="3"/>
      <c r="L148" s="3"/>
      <c r="M148" s="3"/>
      <c r="N148" s="3"/>
      <c r="O148" s="3"/>
      <c r="P148" s="3"/>
      <c r="Q148" s="3"/>
      <c r="R148" s="3"/>
      <c r="S148" s="3"/>
      <c r="T148" s="3"/>
      <c r="U148" s="3"/>
      <c r="V148" s="3"/>
      <c r="W148" s="3"/>
      <c r="X148" s="3"/>
      <c r="Y148" s="3"/>
      <c r="Z148" s="3"/>
    </row>
    <row r="149" spans="1:26" ht="15.75" customHeight="1" x14ac:dyDescent="0.3">
      <c r="A149" s="3"/>
      <c r="B149" s="3"/>
      <c r="C149" s="3"/>
      <c r="D149" s="3"/>
      <c r="E149" s="3"/>
      <c r="F149" s="3"/>
      <c r="G149" s="3"/>
      <c r="H149" s="11"/>
      <c r="I149" s="3"/>
      <c r="J149" s="3"/>
      <c r="K149" s="3"/>
      <c r="L149" s="3"/>
      <c r="M149" s="3"/>
      <c r="N149" s="3"/>
      <c r="O149" s="3"/>
      <c r="P149" s="3"/>
      <c r="Q149" s="3"/>
      <c r="R149" s="3"/>
      <c r="S149" s="3"/>
      <c r="T149" s="3"/>
      <c r="U149" s="3"/>
      <c r="V149" s="3"/>
      <c r="W149" s="3"/>
      <c r="X149" s="3"/>
      <c r="Y149" s="3"/>
      <c r="Z149" s="3"/>
    </row>
    <row r="150" spans="1:26" ht="15.75" customHeight="1" x14ac:dyDescent="0.3">
      <c r="A150" s="3"/>
      <c r="B150" s="3"/>
      <c r="C150" s="3"/>
      <c r="D150" s="3"/>
      <c r="E150" s="3"/>
      <c r="F150" s="3"/>
      <c r="G150" s="3"/>
      <c r="H150" s="11"/>
      <c r="I150" s="3"/>
      <c r="J150" s="3"/>
      <c r="K150" s="3"/>
      <c r="L150" s="3"/>
      <c r="M150" s="3"/>
      <c r="N150" s="3"/>
      <c r="O150" s="3"/>
      <c r="P150" s="3"/>
      <c r="Q150" s="3"/>
      <c r="R150" s="3"/>
      <c r="S150" s="3"/>
      <c r="T150" s="3"/>
      <c r="U150" s="3"/>
      <c r="V150" s="3"/>
      <c r="W150" s="3"/>
      <c r="X150" s="3"/>
      <c r="Y150" s="3"/>
      <c r="Z150" s="3"/>
    </row>
    <row r="151" spans="1:26" ht="15.75" customHeight="1" x14ac:dyDescent="0.3">
      <c r="A151" s="3"/>
      <c r="B151" s="3"/>
      <c r="C151" s="3"/>
      <c r="D151" s="3"/>
      <c r="E151" s="3"/>
      <c r="F151" s="3"/>
      <c r="G151" s="3"/>
      <c r="H151" s="11"/>
      <c r="I151" s="3"/>
      <c r="J151" s="3"/>
      <c r="K151" s="3"/>
      <c r="L151" s="3"/>
      <c r="M151" s="3"/>
      <c r="N151" s="3"/>
      <c r="O151" s="3"/>
      <c r="P151" s="3"/>
      <c r="Q151" s="3"/>
      <c r="R151" s="3"/>
      <c r="S151" s="3"/>
      <c r="T151" s="3"/>
      <c r="U151" s="3"/>
      <c r="V151" s="3"/>
      <c r="W151" s="3"/>
      <c r="X151" s="3"/>
      <c r="Y151" s="3"/>
      <c r="Z151" s="3"/>
    </row>
    <row r="152" spans="1:26" ht="15.75" customHeight="1" x14ac:dyDescent="0.3">
      <c r="A152" s="3"/>
      <c r="B152" s="3"/>
      <c r="C152" s="3"/>
      <c r="D152" s="3"/>
      <c r="E152" s="3"/>
      <c r="F152" s="3"/>
      <c r="G152" s="3"/>
      <c r="H152" s="11"/>
      <c r="I152" s="3"/>
      <c r="J152" s="3"/>
      <c r="K152" s="3"/>
      <c r="L152" s="3"/>
      <c r="M152" s="3"/>
      <c r="N152" s="3"/>
      <c r="O152" s="3"/>
      <c r="P152" s="3"/>
      <c r="Q152" s="3"/>
      <c r="R152" s="3"/>
      <c r="S152" s="3"/>
      <c r="T152" s="3"/>
      <c r="U152" s="3"/>
      <c r="V152" s="3"/>
      <c r="W152" s="3"/>
      <c r="X152" s="3"/>
      <c r="Y152" s="3"/>
      <c r="Z152" s="3"/>
    </row>
    <row r="153" spans="1:26" ht="15.75" customHeight="1" x14ac:dyDescent="0.3">
      <c r="A153" s="3"/>
      <c r="B153" s="3"/>
      <c r="C153" s="3"/>
      <c r="D153" s="3"/>
      <c r="E153" s="3"/>
      <c r="F153" s="3"/>
      <c r="G153" s="3"/>
      <c r="H153" s="11"/>
      <c r="I153" s="3"/>
      <c r="J153" s="3"/>
      <c r="K153" s="3"/>
      <c r="L153" s="3"/>
      <c r="M153" s="3"/>
      <c r="N153" s="3"/>
      <c r="O153" s="3"/>
      <c r="P153" s="3"/>
      <c r="Q153" s="3"/>
      <c r="R153" s="3"/>
      <c r="S153" s="3"/>
      <c r="T153" s="3"/>
      <c r="U153" s="3"/>
      <c r="V153" s="3"/>
      <c r="W153" s="3"/>
      <c r="X153" s="3"/>
      <c r="Y153" s="3"/>
      <c r="Z153" s="3"/>
    </row>
    <row r="154" spans="1:26" ht="15.75" customHeight="1" x14ac:dyDescent="0.3">
      <c r="A154" s="3"/>
      <c r="B154" s="3"/>
      <c r="C154" s="3"/>
      <c r="D154" s="3"/>
      <c r="E154" s="3"/>
      <c r="F154" s="3"/>
      <c r="G154" s="3"/>
      <c r="H154" s="11"/>
      <c r="I154" s="3"/>
      <c r="J154" s="3"/>
      <c r="K154" s="3"/>
      <c r="L154" s="3"/>
      <c r="M154" s="3"/>
      <c r="N154" s="3"/>
      <c r="O154" s="3"/>
      <c r="P154" s="3"/>
      <c r="Q154" s="3"/>
      <c r="R154" s="3"/>
      <c r="S154" s="3"/>
      <c r="T154" s="3"/>
      <c r="U154" s="3"/>
      <c r="V154" s="3"/>
      <c r="W154" s="3"/>
      <c r="X154" s="3"/>
      <c r="Y154" s="3"/>
      <c r="Z154" s="3"/>
    </row>
    <row r="155" spans="1:26" ht="15.75" customHeight="1" x14ac:dyDescent="0.3">
      <c r="A155" s="3"/>
      <c r="B155" s="3"/>
      <c r="C155" s="3"/>
      <c r="D155" s="3"/>
      <c r="E155" s="3"/>
      <c r="F155" s="3"/>
      <c r="G155" s="3"/>
      <c r="H155" s="11"/>
      <c r="I155" s="3"/>
      <c r="J155" s="3"/>
      <c r="K155" s="3"/>
      <c r="L155" s="3"/>
      <c r="M155" s="3"/>
      <c r="N155" s="3"/>
      <c r="O155" s="3"/>
      <c r="P155" s="3"/>
      <c r="Q155" s="3"/>
      <c r="R155" s="3"/>
      <c r="S155" s="3"/>
      <c r="T155" s="3"/>
      <c r="U155" s="3"/>
      <c r="V155" s="3"/>
      <c r="W155" s="3"/>
      <c r="X155" s="3"/>
      <c r="Y155" s="3"/>
      <c r="Z155" s="3"/>
    </row>
    <row r="156" spans="1:26" ht="15.75" customHeight="1" x14ac:dyDescent="0.3">
      <c r="A156" s="3"/>
      <c r="B156" s="3"/>
      <c r="C156" s="3"/>
      <c r="D156" s="3"/>
      <c r="E156" s="3"/>
      <c r="F156" s="3"/>
      <c r="G156" s="3"/>
      <c r="H156" s="11"/>
      <c r="I156" s="3"/>
      <c r="J156" s="3"/>
      <c r="K156" s="3"/>
      <c r="L156" s="3"/>
      <c r="M156" s="3"/>
      <c r="N156" s="3"/>
      <c r="O156" s="3"/>
      <c r="P156" s="3"/>
      <c r="Q156" s="3"/>
      <c r="R156" s="3"/>
      <c r="S156" s="3"/>
      <c r="T156" s="3"/>
      <c r="U156" s="3"/>
      <c r="V156" s="3"/>
      <c r="W156" s="3"/>
      <c r="X156" s="3"/>
      <c r="Y156" s="3"/>
      <c r="Z156" s="3"/>
    </row>
    <row r="157" spans="1:26" ht="15.75" customHeight="1" x14ac:dyDescent="0.3">
      <c r="A157" s="3"/>
      <c r="B157" s="3"/>
      <c r="C157" s="3"/>
      <c r="D157" s="3"/>
      <c r="E157" s="3"/>
      <c r="F157" s="3"/>
      <c r="G157" s="3"/>
      <c r="H157" s="11"/>
      <c r="I157" s="3"/>
      <c r="J157" s="3"/>
      <c r="K157" s="3"/>
      <c r="L157" s="3"/>
      <c r="M157" s="3"/>
      <c r="N157" s="3"/>
      <c r="O157" s="3"/>
      <c r="P157" s="3"/>
      <c r="Q157" s="3"/>
      <c r="R157" s="3"/>
      <c r="S157" s="3"/>
      <c r="T157" s="3"/>
      <c r="U157" s="3"/>
      <c r="V157" s="3"/>
      <c r="W157" s="3"/>
      <c r="X157" s="3"/>
      <c r="Y157" s="3"/>
      <c r="Z157" s="3"/>
    </row>
    <row r="158" spans="1:26" ht="15.75" customHeight="1" x14ac:dyDescent="0.3">
      <c r="A158" s="3"/>
      <c r="B158" s="3"/>
      <c r="C158" s="3"/>
      <c r="D158" s="3"/>
      <c r="E158" s="3"/>
      <c r="F158" s="3"/>
      <c r="G158" s="3"/>
      <c r="H158" s="11"/>
      <c r="I158" s="3"/>
      <c r="J158" s="3"/>
      <c r="K158" s="3"/>
      <c r="L158" s="3"/>
      <c r="M158" s="3"/>
      <c r="N158" s="3"/>
      <c r="O158" s="3"/>
      <c r="P158" s="3"/>
      <c r="Q158" s="3"/>
      <c r="R158" s="3"/>
      <c r="S158" s="3"/>
      <c r="T158" s="3"/>
      <c r="U158" s="3"/>
      <c r="V158" s="3"/>
      <c r="W158" s="3"/>
      <c r="X158" s="3"/>
      <c r="Y158" s="3"/>
      <c r="Z158" s="3"/>
    </row>
    <row r="159" spans="1:26" ht="15.75" customHeight="1" x14ac:dyDescent="0.3">
      <c r="A159" s="3"/>
      <c r="B159" s="3"/>
      <c r="C159" s="3"/>
      <c r="D159" s="3"/>
      <c r="E159" s="3"/>
      <c r="F159" s="3"/>
      <c r="G159" s="3"/>
      <c r="H159" s="11"/>
      <c r="I159" s="3"/>
      <c r="J159" s="3"/>
      <c r="K159" s="3"/>
      <c r="L159" s="3"/>
      <c r="M159" s="3"/>
      <c r="N159" s="3"/>
      <c r="O159" s="3"/>
      <c r="P159" s="3"/>
      <c r="Q159" s="3"/>
      <c r="R159" s="3"/>
      <c r="S159" s="3"/>
      <c r="T159" s="3"/>
      <c r="U159" s="3"/>
      <c r="V159" s="3"/>
      <c r="W159" s="3"/>
      <c r="X159" s="3"/>
      <c r="Y159" s="3"/>
      <c r="Z159" s="3"/>
    </row>
    <row r="160" spans="1:26" ht="15.75" customHeight="1" x14ac:dyDescent="0.3">
      <c r="A160" s="3"/>
      <c r="B160" s="3"/>
      <c r="C160" s="3"/>
      <c r="D160" s="3"/>
      <c r="E160" s="3"/>
      <c r="F160" s="3"/>
      <c r="G160" s="3"/>
      <c r="H160" s="11"/>
      <c r="I160" s="3"/>
      <c r="J160" s="3"/>
      <c r="K160" s="3"/>
      <c r="L160" s="3"/>
      <c r="M160" s="3"/>
      <c r="N160" s="3"/>
      <c r="O160" s="3"/>
      <c r="P160" s="3"/>
      <c r="Q160" s="3"/>
      <c r="R160" s="3"/>
      <c r="S160" s="3"/>
      <c r="T160" s="3"/>
      <c r="U160" s="3"/>
      <c r="V160" s="3"/>
      <c r="W160" s="3"/>
      <c r="X160" s="3"/>
      <c r="Y160" s="3"/>
      <c r="Z160" s="3"/>
    </row>
    <row r="161" spans="1:26" ht="15.75" customHeight="1" x14ac:dyDescent="0.3">
      <c r="A161" s="3"/>
      <c r="B161" s="3"/>
      <c r="C161" s="3"/>
      <c r="D161" s="3"/>
      <c r="E161" s="3"/>
      <c r="F161" s="3"/>
      <c r="G161" s="3"/>
      <c r="H161" s="11"/>
      <c r="I161" s="3"/>
      <c r="J161" s="3"/>
      <c r="K161" s="3"/>
      <c r="L161" s="3"/>
      <c r="M161" s="3"/>
      <c r="N161" s="3"/>
      <c r="O161" s="3"/>
      <c r="P161" s="3"/>
      <c r="Q161" s="3"/>
      <c r="R161" s="3"/>
      <c r="S161" s="3"/>
      <c r="T161" s="3"/>
      <c r="U161" s="3"/>
      <c r="V161" s="3"/>
      <c r="W161" s="3"/>
      <c r="X161" s="3"/>
      <c r="Y161" s="3"/>
      <c r="Z161" s="3"/>
    </row>
    <row r="162" spans="1:26" ht="15.75" customHeight="1" x14ac:dyDescent="0.3">
      <c r="A162" s="3"/>
      <c r="B162" s="3"/>
      <c r="C162" s="3"/>
      <c r="D162" s="3"/>
      <c r="E162" s="3"/>
      <c r="F162" s="3"/>
      <c r="G162" s="3"/>
      <c r="H162" s="11"/>
      <c r="I162" s="3"/>
      <c r="J162" s="3"/>
      <c r="K162" s="3"/>
      <c r="L162" s="3"/>
      <c r="M162" s="3"/>
      <c r="N162" s="3"/>
      <c r="O162" s="3"/>
      <c r="P162" s="3"/>
      <c r="Q162" s="3"/>
      <c r="R162" s="3"/>
      <c r="S162" s="3"/>
      <c r="T162" s="3"/>
      <c r="U162" s="3"/>
      <c r="V162" s="3"/>
      <c r="W162" s="3"/>
      <c r="X162" s="3"/>
      <c r="Y162" s="3"/>
      <c r="Z162" s="3"/>
    </row>
    <row r="163" spans="1:26" ht="15.75" customHeight="1" x14ac:dyDescent="0.3">
      <c r="A163" s="3"/>
      <c r="B163" s="3"/>
      <c r="C163" s="3"/>
      <c r="D163" s="3"/>
      <c r="E163" s="3"/>
      <c r="F163" s="3"/>
      <c r="G163" s="3"/>
      <c r="H163" s="11"/>
      <c r="I163" s="3"/>
      <c r="J163" s="3"/>
      <c r="K163" s="3"/>
      <c r="L163" s="3"/>
      <c r="M163" s="3"/>
      <c r="N163" s="3"/>
      <c r="O163" s="3"/>
      <c r="P163" s="3"/>
      <c r="Q163" s="3"/>
      <c r="R163" s="3"/>
      <c r="S163" s="3"/>
      <c r="T163" s="3"/>
      <c r="U163" s="3"/>
      <c r="V163" s="3"/>
      <c r="W163" s="3"/>
      <c r="X163" s="3"/>
      <c r="Y163" s="3"/>
      <c r="Z163" s="3"/>
    </row>
    <row r="164" spans="1:26" ht="15.75" customHeight="1" x14ac:dyDescent="0.3">
      <c r="A164" s="3"/>
      <c r="B164" s="3"/>
      <c r="C164" s="3"/>
      <c r="D164" s="3"/>
      <c r="E164" s="3"/>
      <c r="F164" s="3"/>
      <c r="G164" s="3"/>
      <c r="H164" s="11"/>
      <c r="I164" s="3"/>
      <c r="J164" s="3"/>
      <c r="K164" s="3"/>
      <c r="L164" s="3"/>
      <c r="M164" s="3"/>
      <c r="N164" s="3"/>
      <c r="O164" s="3"/>
      <c r="P164" s="3"/>
      <c r="Q164" s="3"/>
      <c r="R164" s="3"/>
      <c r="S164" s="3"/>
      <c r="T164" s="3"/>
      <c r="U164" s="3"/>
      <c r="V164" s="3"/>
      <c r="W164" s="3"/>
      <c r="X164" s="3"/>
      <c r="Y164" s="3"/>
      <c r="Z164" s="3"/>
    </row>
    <row r="165" spans="1:26" ht="15.75" customHeight="1" x14ac:dyDescent="0.3">
      <c r="A165" s="3"/>
      <c r="B165" s="3"/>
      <c r="C165" s="3"/>
      <c r="D165" s="3"/>
      <c r="E165" s="3"/>
      <c r="F165" s="3"/>
      <c r="G165" s="3"/>
      <c r="H165" s="11"/>
      <c r="I165" s="3"/>
      <c r="J165" s="3"/>
      <c r="K165" s="3"/>
      <c r="L165" s="3"/>
      <c r="M165" s="3"/>
      <c r="N165" s="3"/>
      <c r="O165" s="3"/>
      <c r="P165" s="3"/>
      <c r="Q165" s="3"/>
      <c r="R165" s="3"/>
      <c r="S165" s="3"/>
      <c r="T165" s="3"/>
      <c r="U165" s="3"/>
      <c r="V165" s="3"/>
      <c r="W165" s="3"/>
      <c r="X165" s="3"/>
      <c r="Y165" s="3"/>
      <c r="Z165" s="3"/>
    </row>
    <row r="166" spans="1:26" ht="15.75" customHeight="1" x14ac:dyDescent="0.3">
      <c r="A166" s="3"/>
      <c r="B166" s="3"/>
      <c r="C166" s="3"/>
      <c r="D166" s="3"/>
      <c r="E166" s="3"/>
      <c r="F166" s="3"/>
      <c r="G166" s="3"/>
      <c r="H166" s="11"/>
      <c r="I166" s="3"/>
      <c r="J166" s="3"/>
      <c r="K166" s="3"/>
      <c r="L166" s="3"/>
      <c r="M166" s="3"/>
      <c r="N166" s="3"/>
      <c r="O166" s="3"/>
      <c r="P166" s="3"/>
      <c r="Q166" s="3"/>
      <c r="R166" s="3"/>
      <c r="S166" s="3"/>
      <c r="T166" s="3"/>
      <c r="U166" s="3"/>
      <c r="V166" s="3"/>
      <c r="W166" s="3"/>
      <c r="X166" s="3"/>
      <c r="Y166" s="3"/>
      <c r="Z166" s="3"/>
    </row>
    <row r="167" spans="1:26" ht="15.75" customHeight="1" x14ac:dyDescent="0.3">
      <c r="A167" s="3"/>
      <c r="B167" s="3"/>
      <c r="C167" s="3"/>
      <c r="D167" s="3"/>
      <c r="E167" s="3"/>
      <c r="F167" s="3"/>
      <c r="G167" s="3"/>
      <c r="H167" s="11"/>
      <c r="I167" s="3"/>
      <c r="J167" s="3"/>
      <c r="K167" s="3"/>
      <c r="L167" s="3"/>
      <c r="M167" s="3"/>
      <c r="N167" s="3"/>
      <c r="O167" s="3"/>
      <c r="P167" s="3"/>
      <c r="Q167" s="3"/>
      <c r="R167" s="3"/>
      <c r="S167" s="3"/>
      <c r="T167" s="3"/>
      <c r="U167" s="3"/>
      <c r="V167" s="3"/>
      <c r="W167" s="3"/>
      <c r="X167" s="3"/>
      <c r="Y167" s="3"/>
      <c r="Z167" s="3"/>
    </row>
    <row r="168" spans="1:26" ht="15.75" customHeight="1" x14ac:dyDescent="0.3">
      <c r="A168" s="3"/>
      <c r="B168" s="3"/>
      <c r="C168" s="3"/>
      <c r="D168" s="3"/>
      <c r="E168" s="3"/>
      <c r="F168" s="3"/>
      <c r="G168" s="3"/>
      <c r="H168" s="11"/>
      <c r="I168" s="3"/>
      <c r="J168" s="3"/>
      <c r="K168" s="3"/>
      <c r="L168" s="3"/>
      <c r="M168" s="3"/>
      <c r="N168" s="3"/>
      <c r="O168" s="3"/>
      <c r="P168" s="3"/>
      <c r="Q168" s="3"/>
      <c r="R168" s="3"/>
      <c r="S168" s="3"/>
      <c r="T168" s="3"/>
      <c r="U168" s="3"/>
      <c r="V168" s="3"/>
      <c r="W168" s="3"/>
      <c r="X168" s="3"/>
      <c r="Y168" s="3"/>
      <c r="Z168" s="3"/>
    </row>
    <row r="169" spans="1:26" ht="15.75" customHeight="1" x14ac:dyDescent="0.3">
      <c r="A169" s="3"/>
      <c r="B169" s="3"/>
      <c r="C169" s="3"/>
      <c r="D169" s="3"/>
      <c r="E169" s="3"/>
      <c r="F169" s="3"/>
      <c r="G169" s="3"/>
      <c r="H169" s="11"/>
      <c r="I169" s="3"/>
      <c r="J169" s="3"/>
      <c r="K169" s="3"/>
      <c r="L169" s="3"/>
      <c r="M169" s="3"/>
      <c r="N169" s="3"/>
      <c r="O169" s="3"/>
      <c r="P169" s="3"/>
      <c r="Q169" s="3"/>
      <c r="R169" s="3"/>
      <c r="S169" s="3"/>
      <c r="T169" s="3"/>
      <c r="U169" s="3"/>
      <c r="V169" s="3"/>
      <c r="W169" s="3"/>
      <c r="X169" s="3"/>
      <c r="Y169" s="3"/>
      <c r="Z169" s="3"/>
    </row>
    <row r="170" spans="1:26" ht="15.75" customHeight="1" x14ac:dyDescent="0.3">
      <c r="A170" s="3"/>
      <c r="B170" s="3"/>
      <c r="C170" s="3"/>
      <c r="D170" s="3"/>
      <c r="E170" s="3"/>
      <c r="F170" s="3"/>
      <c r="G170" s="3"/>
      <c r="H170" s="11"/>
      <c r="I170" s="3"/>
      <c r="J170" s="3"/>
      <c r="K170" s="3"/>
      <c r="L170" s="3"/>
      <c r="M170" s="3"/>
      <c r="N170" s="3"/>
      <c r="O170" s="3"/>
      <c r="P170" s="3"/>
      <c r="Q170" s="3"/>
      <c r="R170" s="3"/>
      <c r="S170" s="3"/>
      <c r="T170" s="3"/>
      <c r="U170" s="3"/>
      <c r="V170" s="3"/>
      <c r="W170" s="3"/>
      <c r="X170" s="3"/>
      <c r="Y170" s="3"/>
      <c r="Z170" s="3"/>
    </row>
    <row r="171" spans="1:26" ht="15.75" customHeight="1" x14ac:dyDescent="0.3">
      <c r="A171" s="3"/>
      <c r="B171" s="3"/>
      <c r="C171" s="3"/>
      <c r="D171" s="3"/>
      <c r="E171" s="3"/>
      <c r="F171" s="3"/>
      <c r="G171" s="3"/>
      <c r="H171" s="11"/>
      <c r="I171" s="3"/>
      <c r="J171" s="3"/>
      <c r="K171" s="3"/>
      <c r="L171" s="3"/>
      <c r="M171" s="3"/>
      <c r="N171" s="3"/>
      <c r="O171" s="3"/>
      <c r="P171" s="3"/>
      <c r="Q171" s="3"/>
      <c r="R171" s="3"/>
      <c r="S171" s="3"/>
      <c r="T171" s="3"/>
      <c r="U171" s="3"/>
      <c r="V171" s="3"/>
      <c r="W171" s="3"/>
      <c r="X171" s="3"/>
      <c r="Y171" s="3"/>
      <c r="Z171" s="3"/>
    </row>
    <row r="172" spans="1:26" ht="15.75" customHeight="1" x14ac:dyDescent="0.3">
      <c r="A172" s="3"/>
      <c r="B172" s="3"/>
      <c r="C172" s="3"/>
      <c r="D172" s="3"/>
      <c r="E172" s="3"/>
      <c r="F172" s="3"/>
      <c r="G172" s="3"/>
      <c r="H172" s="11"/>
      <c r="I172" s="3"/>
      <c r="J172" s="3"/>
      <c r="K172" s="3"/>
      <c r="L172" s="3"/>
      <c r="M172" s="3"/>
      <c r="N172" s="3"/>
      <c r="O172" s="3"/>
      <c r="P172" s="3"/>
      <c r="Q172" s="3"/>
      <c r="R172" s="3"/>
      <c r="S172" s="3"/>
      <c r="T172" s="3"/>
      <c r="U172" s="3"/>
      <c r="V172" s="3"/>
      <c r="W172" s="3"/>
      <c r="X172" s="3"/>
      <c r="Y172" s="3"/>
      <c r="Z172" s="3"/>
    </row>
    <row r="173" spans="1:26" ht="15.75" customHeight="1" x14ac:dyDescent="0.3">
      <c r="A173" s="3"/>
      <c r="B173" s="3"/>
      <c r="C173" s="3"/>
      <c r="D173" s="3"/>
      <c r="E173" s="3"/>
      <c r="F173" s="3"/>
      <c r="G173" s="3"/>
      <c r="H173" s="11"/>
      <c r="I173" s="3"/>
      <c r="J173" s="3"/>
      <c r="K173" s="3"/>
      <c r="L173" s="3"/>
      <c r="M173" s="3"/>
      <c r="N173" s="3"/>
      <c r="O173" s="3"/>
      <c r="P173" s="3"/>
      <c r="Q173" s="3"/>
      <c r="R173" s="3"/>
      <c r="S173" s="3"/>
      <c r="T173" s="3"/>
      <c r="U173" s="3"/>
      <c r="V173" s="3"/>
      <c r="W173" s="3"/>
      <c r="X173" s="3"/>
      <c r="Y173" s="3"/>
      <c r="Z173" s="3"/>
    </row>
    <row r="174" spans="1:26" ht="15.75" customHeight="1" x14ac:dyDescent="0.3">
      <c r="A174" s="3"/>
      <c r="B174" s="3"/>
      <c r="C174" s="3"/>
      <c r="D174" s="3"/>
      <c r="E174" s="3"/>
      <c r="F174" s="3"/>
      <c r="G174" s="3"/>
      <c r="H174" s="11"/>
      <c r="I174" s="3"/>
      <c r="J174" s="3"/>
      <c r="K174" s="3"/>
      <c r="L174" s="3"/>
      <c r="M174" s="3"/>
      <c r="N174" s="3"/>
      <c r="O174" s="3"/>
      <c r="P174" s="3"/>
      <c r="Q174" s="3"/>
      <c r="R174" s="3"/>
      <c r="S174" s="3"/>
      <c r="T174" s="3"/>
      <c r="U174" s="3"/>
      <c r="V174" s="3"/>
      <c r="W174" s="3"/>
      <c r="X174" s="3"/>
      <c r="Y174" s="3"/>
      <c r="Z174" s="3"/>
    </row>
    <row r="175" spans="1:26" ht="15.75" customHeight="1" x14ac:dyDescent="0.3">
      <c r="A175" s="3"/>
      <c r="B175" s="3"/>
      <c r="C175" s="3"/>
      <c r="D175" s="3"/>
      <c r="E175" s="3"/>
      <c r="F175" s="3"/>
      <c r="G175" s="3"/>
      <c r="H175" s="11"/>
      <c r="I175" s="3"/>
      <c r="J175" s="3"/>
      <c r="K175" s="3"/>
      <c r="L175" s="3"/>
      <c r="M175" s="3"/>
      <c r="N175" s="3"/>
      <c r="O175" s="3"/>
      <c r="P175" s="3"/>
      <c r="Q175" s="3"/>
      <c r="R175" s="3"/>
      <c r="S175" s="3"/>
      <c r="T175" s="3"/>
      <c r="U175" s="3"/>
      <c r="V175" s="3"/>
      <c r="W175" s="3"/>
      <c r="X175" s="3"/>
      <c r="Y175" s="3"/>
      <c r="Z175" s="3"/>
    </row>
    <row r="176" spans="1:26" ht="15.75" customHeight="1" x14ac:dyDescent="0.3">
      <c r="A176" s="3"/>
      <c r="B176" s="3"/>
      <c r="C176" s="3"/>
      <c r="D176" s="3"/>
      <c r="E176" s="3"/>
      <c r="F176" s="3"/>
      <c r="G176" s="3"/>
      <c r="H176" s="11"/>
      <c r="I176" s="3"/>
      <c r="J176" s="3"/>
      <c r="K176" s="3"/>
      <c r="L176" s="3"/>
      <c r="M176" s="3"/>
      <c r="N176" s="3"/>
      <c r="O176" s="3"/>
      <c r="P176" s="3"/>
      <c r="Q176" s="3"/>
      <c r="R176" s="3"/>
      <c r="S176" s="3"/>
      <c r="T176" s="3"/>
      <c r="U176" s="3"/>
      <c r="V176" s="3"/>
      <c r="W176" s="3"/>
      <c r="X176" s="3"/>
      <c r="Y176" s="3"/>
      <c r="Z176" s="3"/>
    </row>
    <row r="177" spans="1:26" ht="15.75" customHeight="1" x14ac:dyDescent="0.3">
      <c r="A177" s="3"/>
      <c r="B177" s="3"/>
      <c r="C177" s="3"/>
      <c r="D177" s="3"/>
      <c r="E177" s="3"/>
      <c r="F177" s="3"/>
      <c r="G177" s="3"/>
      <c r="H177" s="11"/>
      <c r="I177" s="3"/>
      <c r="J177" s="3"/>
      <c r="K177" s="3"/>
      <c r="L177" s="3"/>
      <c r="M177" s="3"/>
      <c r="N177" s="3"/>
      <c r="O177" s="3"/>
      <c r="P177" s="3"/>
      <c r="Q177" s="3"/>
      <c r="R177" s="3"/>
      <c r="S177" s="3"/>
      <c r="T177" s="3"/>
      <c r="U177" s="3"/>
      <c r="V177" s="3"/>
      <c r="W177" s="3"/>
      <c r="X177" s="3"/>
      <c r="Y177" s="3"/>
      <c r="Z177" s="3"/>
    </row>
    <row r="178" spans="1:26" ht="15.75" customHeight="1" x14ac:dyDescent="0.3">
      <c r="A178" s="3"/>
      <c r="B178" s="3"/>
      <c r="C178" s="3"/>
      <c r="D178" s="3"/>
      <c r="E178" s="3"/>
      <c r="F178" s="3"/>
      <c r="G178" s="3"/>
      <c r="H178" s="11"/>
      <c r="I178" s="3"/>
      <c r="J178" s="3"/>
      <c r="K178" s="3"/>
      <c r="L178" s="3"/>
      <c r="M178" s="3"/>
      <c r="N178" s="3"/>
      <c r="O178" s="3"/>
      <c r="P178" s="3"/>
      <c r="Q178" s="3"/>
      <c r="R178" s="3"/>
      <c r="S178" s="3"/>
      <c r="T178" s="3"/>
      <c r="U178" s="3"/>
      <c r="V178" s="3"/>
      <c r="W178" s="3"/>
      <c r="X178" s="3"/>
      <c r="Y178" s="3"/>
      <c r="Z178" s="3"/>
    </row>
    <row r="179" spans="1:26" ht="15.75" customHeight="1" x14ac:dyDescent="0.3">
      <c r="A179" s="3"/>
      <c r="B179" s="3"/>
      <c r="C179" s="3"/>
      <c r="D179" s="3"/>
      <c r="E179" s="3"/>
      <c r="F179" s="3"/>
      <c r="G179" s="3"/>
      <c r="H179" s="11"/>
      <c r="I179" s="3"/>
      <c r="J179" s="3"/>
      <c r="K179" s="3"/>
      <c r="L179" s="3"/>
      <c r="M179" s="3"/>
      <c r="N179" s="3"/>
      <c r="O179" s="3"/>
      <c r="P179" s="3"/>
      <c r="Q179" s="3"/>
      <c r="R179" s="3"/>
      <c r="S179" s="3"/>
      <c r="T179" s="3"/>
      <c r="U179" s="3"/>
      <c r="V179" s="3"/>
      <c r="W179" s="3"/>
      <c r="X179" s="3"/>
      <c r="Y179" s="3"/>
      <c r="Z179" s="3"/>
    </row>
    <row r="180" spans="1:26" ht="15.75" customHeight="1" x14ac:dyDescent="0.3">
      <c r="A180" s="3"/>
      <c r="B180" s="3"/>
      <c r="C180" s="3"/>
      <c r="D180" s="3"/>
      <c r="E180" s="3"/>
      <c r="F180" s="3"/>
      <c r="G180" s="3"/>
      <c r="H180" s="11"/>
      <c r="I180" s="3"/>
      <c r="J180" s="3"/>
      <c r="K180" s="3"/>
      <c r="L180" s="3"/>
      <c r="M180" s="3"/>
      <c r="N180" s="3"/>
      <c r="O180" s="3"/>
      <c r="P180" s="3"/>
      <c r="Q180" s="3"/>
      <c r="R180" s="3"/>
      <c r="S180" s="3"/>
      <c r="T180" s="3"/>
      <c r="U180" s="3"/>
      <c r="V180" s="3"/>
      <c r="W180" s="3"/>
      <c r="X180" s="3"/>
      <c r="Y180" s="3"/>
      <c r="Z180" s="3"/>
    </row>
    <row r="181" spans="1:26" ht="15.75" customHeight="1" x14ac:dyDescent="0.3">
      <c r="A181" s="3"/>
      <c r="B181" s="3"/>
      <c r="C181" s="3"/>
      <c r="D181" s="3"/>
      <c r="E181" s="3"/>
      <c r="F181" s="3"/>
      <c r="G181" s="3"/>
      <c r="H181" s="11"/>
      <c r="I181" s="3"/>
      <c r="J181" s="3"/>
      <c r="K181" s="3"/>
      <c r="L181" s="3"/>
      <c r="M181" s="3"/>
      <c r="N181" s="3"/>
      <c r="O181" s="3"/>
      <c r="P181" s="3"/>
      <c r="Q181" s="3"/>
      <c r="R181" s="3"/>
      <c r="S181" s="3"/>
      <c r="T181" s="3"/>
      <c r="U181" s="3"/>
      <c r="V181" s="3"/>
      <c r="W181" s="3"/>
      <c r="X181" s="3"/>
      <c r="Y181" s="3"/>
      <c r="Z181" s="3"/>
    </row>
    <row r="182" spans="1:26" ht="15.75" customHeight="1" x14ac:dyDescent="0.3">
      <c r="A182" s="3"/>
      <c r="B182" s="3"/>
      <c r="C182" s="3"/>
      <c r="D182" s="3"/>
      <c r="E182" s="3"/>
      <c r="F182" s="3"/>
      <c r="G182" s="3"/>
      <c r="H182" s="11"/>
      <c r="I182" s="3"/>
      <c r="J182" s="3"/>
      <c r="K182" s="3"/>
      <c r="L182" s="3"/>
      <c r="M182" s="3"/>
      <c r="N182" s="3"/>
      <c r="O182" s="3"/>
      <c r="P182" s="3"/>
      <c r="Q182" s="3"/>
      <c r="R182" s="3"/>
      <c r="S182" s="3"/>
      <c r="T182" s="3"/>
      <c r="U182" s="3"/>
      <c r="V182" s="3"/>
      <c r="W182" s="3"/>
      <c r="X182" s="3"/>
      <c r="Y182" s="3"/>
      <c r="Z182" s="3"/>
    </row>
    <row r="183" spans="1:26" ht="15.75" customHeight="1" x14ac:dyDescent="0.3">
      <c r="A183" s="3"/>
      <c r="B183" s="3"/>
      <c r="C183" s="3"/>
      <c r="D183" s="3"/>
      <c r="E183" s="3"/>
      <c r="F183" s="3"/>
      <c r="G183" s="3"/>
      <c r="H183" s="11"/>
      <c r="I183" s="3"/>
      <c r="J183" s="3"/>
      <c r="K183" s="3"/>
      <c r="L183" s="3"/>
      <c r="M183" s="3"/>
      <c r="N183" s="3"/>
      <c r="O183" s="3"/>
      <c r="P183" s="3"/>
      <c r="Q183" s="3"/>
      <c r="R183" s="3"/>
      <c r="S183" s="3"/>
      <c r="T183" s="3"/>
      <c r="U183" s="3"/>
      <c r="V183" s="3"/>
      <c r="W183" s="3"/>
      <c r="X183" s="3"/>
      <c r="Y183" s="3"/>
      <c r="Z183" s="3"/>
    </row>
    <row r="184" spans="1:26" ht="15.75" customHeight="1" x14ac:dyDescent="0.3">
      <c r="A184" s="3"/>
      <c r="B184" s="3"/>
      <c r="C184" s="3"/>
      <c r="D184" s="3"/>
      <c r="E184" s="3"/>
      <c r="F184" s="3"/>
      <c r="G184" s="3"/>
      <c r="H184" s="11"/>
      <c r="I184" s="3"/>
      <c r="J184" s="3"/>
      <c r="K184" s="3"/>
      <c r="L184" s="3"/>
      <c r="M184" s="3"/>
      <c r="N184" s="3"/>
      <c r="O184" s="3"/>
      <c r="P184" s="3"/>
      <c r="Q184" s="3"/>
      <c r="R184" s="3"/>
      <c r="S184" s="3"/>
      <c r="T184" s="3"/>
      <c r="U184" s="3"/>
      <c r="V184" s="3"/>
      <c r="W184" s="3"/>
      <c r="X184" s="3"/>
      <c r="Y184" s="3"/>
      <c r="Z184" s="3"/>
    </row>
    <row r="185" spans="1:26" ht="15.75" customHeight="1" x14ac:dyDescent="0.3">
      <c r="A185" s="3"/>
      <c r="B185" s="3"/>
      <c r="C185" s="3"/>
      <c r="D185" s="3"/>
      <c r="E185" s="3"/>
      <c r="F185" s="3"/>
      <c r="G185" s="3"/>
      <c r="H185" s="11"/>
      <c r="I185" s="3"/>
      <c r="J185" s="3"/>
      <c r="K185" s="3"/>
      <c r="L185" s="3"/>
      <c r="M185" s="3"/>
      <c r="N185" s="3"/>
      <c r="O185" s="3"/>
      <c r="P185" s="3"/>
      <c r="Q185" s="3"/>
      <c r="R185" s="3"/>
      <c r="S185" s="3"/>
      <c r="T185" s="3"/>
      <c r="U185" s="3"/>
      <c r="V185" s="3"/>
      <c r="W185" s="3"/>
      <c r="X185" s="3"/>
      <c r="Y185" s="3"/>
      <c r="Z185" s="3"/>
    </row>
    <row r="186" spans="1:26" ht="15.75" customHeight="1" x14ac:dyDescent="0.3">
      <c r="A186" s="3"/>
      <c r="B186" s="3"/>
      <c r="C186" s="3"/>
      <c r="D186" s="3"/>
      <c r="E186" s="3"/>
      <c r="F186" s="3"/>
      <c r="G186" s="3"/>
      <c r="H186" s="11"/>
      <c r="I186" s="3"/>
      <c r="J186" s="3"/>
      <c r="K186" s="3"/>
      <c r="L186" s="3"/>
      <c r="M186" s="3"/>
      <c r="N186" s="3"/>
      <c r="O186" s="3"/>
      <c r="P186" s="3"/>
      <c r="Q186" s="3"/>
      <c r="R186" s="3"/>
      <c r="S186" s="3"/>
      <c r="T186" s="3"/>
      <c r="U186" s="3"/>
      <c r="V186" s="3"/>
      <c r="W186" s="3"/>
      <c r="X186" s="3"/>
      <c r="Y186" s="3"/>
      <c r="Z186" s="3"/>
    </row>
    <row r="187" spans="1:26" ht="15.75" customHeight="1" x14ac:dyDescent="0.3">
      <c r="A187" s="3"/>
      <c r="B187" s="3"/>
      <c r="C187" s="3"/>
      <c r="D187" s="3"/>
      <c r="E187" s="3"/>
      <c r="F187" s="3"/>
      <c r="G187" s="3"/>
      <c r="H187" s="11"/>
      <c r="I187" s="3"/>
      <c r="J187" s="3"/>
      <c r="K187" s="3"/>
      <c r="L187" s="3"/>
      <c r="M187" s="3"/>
      <c r="N187" s="3"/>
      <c r="O187" s="3"/>
      <c r="P187" s="3"/>
      <c r="Q187" s="3"/>
      <c r="R187" s="3"/>
      <c r="S187" s="3"/>
      <c r="T187" s="3"/>
      <c r="U187" s="3"/>
      <c r="V187" s="3"/>
      <c r="W187" s="3"/>
      <c r="X187" s="3"/>
      <c r="Y187" s="3"/>
      <c r="Z187" s="3"/>
    </row>
    <row r="188" spans="1:26" ht="15.75" customHeight="1" x14ac:dyDescent="0.3">
      <c r="A188" s="3"/>
      <c r="B188" s="3"/>
      <c r="C188" s="3"/>
      <c r="D188" s="3"/>
      <c r="E188" s="3"/>
      <c r="F188" s="3"/>
      <c r="G188" s="3"/>
      <c r="H188" s="11"/>
      <c r="I188" s="3"/>
      <c r="J188" s="3"/>
      <c r="K188" s="3"/>
      <c r="L188" s="3"/>
      <c r="M188" s="3"/>
      <c r="N188" s="3"/>
      <c r="O188" s="3"/>
      <c r="P188" s="3"/>
      <c r="Q188" s="3"/>
      <c r="R188" s="3"/>
      <c r="S188" s="3"/>
      <c r="T188" s="3"/>
      <c r="U188" s="3"/>
      <c r="V188" s="3"/>
      <c r="W188" s="3"/>
      <c r="X188" s="3"/>
      <c r="Y188" s="3"/>
      <c r="Z188" s="3"/>
    </row>
    <row r="189" spans="1:26" ht="15.75" customHeight="1" x14ac:dyDescent="0.3">
      <c r="A189" s="3"/>
      <c r="B189" s="3"/>
      <c r="C189" s="3"/>
      <c r="D189" s="3"/>
      <c r="E189" s="3"/>
      <c r="F189" s="3"/>
      <c r="G189" s="3"/>
      <c r="H189" s="11"/>
      <c r="I189" s="3"/>
      <c r="J189" s="3"/>
      <c r="K189" s="3"/>
      <c r="L189" s="3"/>
      <c r="M189" s="3"/>
      <c r="N189" s="3"/>
      <c r="O189" s="3"/>
      <c r="P189" s="3"/>
      <c r="Q189" s="3"/>
      <c r="R189" s="3"/>
      <c r="S189" s="3"/>
      <c r="T189" s="3"/>
      <c r="U189" s="3"/>
      <c r="V189" s="3"/>
      <c r="W189" s="3"/>
      <c r="X189" s="3"/>
      <c r="Y189" s="3"/>
      <c r="Z189" s="3"/>
    </row>
    <row r="190" spans="1:26" ht="15.75" customHeight="1" x14ac:dyDescent="0.3">
      <c r="A190" s="3"/>
      <c r="B190" s="3"/>
      <c r="C190" s="3"/>
      <c r="D190" s="3"/>
      <c r="E190" s="3"/>
      <c r="F190" s="3"/>
      <c r="G190" s="3"/>
      <c r="H190" s="11"/>
      <c r="I190" s="3"/>
      <c r="J190" s="3"/>
      <c r="K190" s="3"/>
      <c r="L190" s="3"/>
      <c r="M190" s="3"/>
      <c r="N190" s="3"/>
      <c r="O190" s="3"/>
      <c r="P190" s="3"/>
      <c r="Q190" s="3"/>
      <c r="R190" s="3"/>
      <c r="S190" s="3"/>
      <c r="T190" s="3"/>
      <c r="U190" s="3"/>
      <c r="V190" s="3"/>
      <c r="W190" s="3"/>
      <c r="X190" s="3"/>
      <c r="Y190" s="3"/>
      <c r="Z190" s="3"/>
    </row>
    <row r="191" spans="1:26" ht="15.75" customHeight="1" x14ac:dyDescent="0.3">
      <c r="A191" s="3"/>
      <c r="B191" s="3"/>
      <c r="C191" s="3"/>
      <c r="D191" s="3"/>
      <c r="E191" s="3"/>
      <c r="F191" s="3"/>
      <c r="G191" s="3"/>
      <c r="H191" s="11"/>
      <c r="I191" s="3"/>
      <c r="J191" s="3"/>
      <c r="K191" s="3"/>
      <c r="L191" s="3"/>
      <c r="M191" s="3"/>
      <c r="N191" s="3"/>
      <c r="O191" s="3"/>
      <c r="P191" s="3"/>
      <c r="Q191" s="3"/>
      <c r="R191" s="3"/>
      <c r="S191" s="3"/>
      <c r="T191" s="3"/>
      <c r="U191" s="3"/>
      <c r="V191" s="3"/>
      <c r="W191" s="3"/>
      <c r="X191" s="3"/>
      <c r="Y191" s="3"/>
      <c r="Z191" s="3"/>
    </row>
    <row r="192" spans="1:26" ht="15.75" customHeight="1" x14ac:dyDescent="0.3">
      <c r="A192" s="3"/>
      <c r="B192" s="3"/>
      <c r="C192" s="3"/>
      <c r="D192" s="3"/>
      <c r="E192" s="3"/>
      <c r="F192" s="3"/>
      <c r="G192" s="3"/>
      <c r="H192" s="11"/>
      <c r="I192" s="3"/>
      <c r="J192" s="3"/>
      <c r="K192" s="3"/>
      <c r="L192" s="3"/>
      <c r="M192" s="3"/>
      <c r="N192" s="3"/>
      <c r="O192" s="3"/>
      <c r="P192" s="3"/>
      <c r="Q192" s="3"/>
      <c r="R192" s="3"/>
      <c r="S192" s="3"/>
      <c r="T192" s="3"/>
      <c r="U192" s="3"/>
      <c r="V192" s="3"/>
      <c r="W192" s="3"/>
      <c r="X192" s="3"/>
      <c r="Y192" s="3"/>
      <c r="Z192" s="3"/>
    </row>
    <row r="193" spans="1:26" ht="15.75" customHeight="1" x14ac:dyDescent="0.3">
      <c r="A193" s="3"/>
      <c r="B193" s="3"/>
      <c r="C193" s="3"/>
      <c r="D193" s="3"/>
      <c r="E193" s="3"/>
      <c r="F193" s="3"/>
      <c r="G193" s="3"/>
      <c r="H193" s="11"/>
      <c r="I193" s="3"/>
      <c r="J193" s="3"/>
      <c r="K193" s="3"/>
      <c r="L193" s="3"/>
      <c r="M193" s="3"/>
      <c r="N193" s="3"/>
      <c r="O193" s="3"/>
      <c r="P193" s="3"/>
      <c r="Q193" s="3"/>
      <c r="R193" s="3"/>
      <c r="S193" s="3"/>
      <c r="T193" s="3"/>
      <c r="U193" s="3"/>
      <c r="V193" s="3"/>
      <c r="W193" s="3"/>
      <c r="X193" s="3"/>
      <c r="Y193" s="3"/>
      <c r="Z193" s="3"/>
    </row>
    <row r="194" spans="1:26" ht="15.75" customHeight="1" x14ac:dyDescent="0.3">
      <c r="A194" s="3"/>
      <c r="B194" s="3"/>
      <c r="C194" s="3"/>
      <c r="D194" s="3"/>
      <c r="E194" s="3"/>
      <c r="F194" s="3"/>
      <c r="G194" s="3"/>
      <c r="H194" s="11"/>
      <c r="I194" s="3"/>
      <c r="J194" s="3"/>
      <c r="K194" s="3"/>
      <c r="L194" s="3"/>
      <c r="M194" s="3"/>
      <c r="N194" s="3"/>
      <c r="O194" s="3"/>
      <c r="P194" s="3"/>
      <c r="Q194" s="3"/>
      <c r="R194" s="3"/>
      <c r="S194" s="3"/>
      <c r="T194" s="3"/>
      <c r="U194" s="3"/>
      <c r="V194" s="3"/>
      <c r="W194" s="3"/>
      <c r="X194" s="3"/>
      <c r="Y194" s="3"/>
      <c r="Z194" s="3"/>
    </row>
    <row r="195" spans="1:26" ht="15.75" customHeight="1" x14ac:dyDescent="0.3">
      <c r="A195" s="3"/>
      <c r="B195" s="3"/>
      <c r="C195" s="3"/>
      <c r="D195" s="3"/>
      <c r="E195" s="3"/>
      <c r="F195" s="3"/>
      <c r="G195" s="3"/>
      <c r="H195" s="11"/>
      <c r="I195" s="3"/>
      <c r="J195" s="3"/>
      <c r="K195" s="3"/>
      <c r="L195" s="3"/>
      <c r="M195" s="3"/>
      <c r="N195" s="3"/>
      <c r="O195" s="3"/>
      <c r="P195" s="3"/>
      <c r="Q195" s="3"/>
      <c r="R195" s="3"/>
      <c r="S195" s="3"/>
      <c r="T195" s="3"/>
      <c r="U195" s="3"/>
      <c r="V195" s="3"/>
      <c r="W195" s="3"/>
      <c r="X195" s="3"/>
      <c r="Y195" s="3"/>
      <c r="Z195" s="3"/>
    </row>
    <row r="196" spans="1:26" ht="15.75" customHeight="1" x14ac:dyDescent="0.3">
      <c r="A196" s="3"/>
      <c r="B196" s="3"/>
      <c r="C196" s="3"/>
      <c r="D196" s="3"/>
      <c r="E196" s="3"/>
      <c r="F196" s="3"/>
      <c r="G196" s="3"/>
      <c r="H196" s="11"/>
      <c r="I196" s="3"/>
      <c r="J196" s="3"/>
      <c r="K196" s="3"/>
      <c r="L196" s="3"/>
      <c r="M196" s="3"/>
      <c r="N196" s="3"/>
      <c r="O196" s="3"/>
      <c r="P196" s="3"/>
      <c r="Q196" s="3"/>
      <c r="R196" s="3"/>
      <c r="S196" s="3"/>
      <c r="T196" s="3"/>
      <c r="U196" s="3"/>
      <c r="V196" s="3"/>
      <c r="W196" s="3"/>
      <c r="X196" s="3"/>
      <c r="Y196" s="3"/>
      <c r="Z196" s="3"/>
    </row>
    <row r="197" spans="1:26" ht="15.75" customHeight="1" x14ac:dyDescent="0.3">
      <c r="A197" s="3"/>
      <c r="B197" s="3"/>
      <c r="C197" s="3"/>
      <c r="D197" s="3"/>
      <c r="E197" s="3"/>
      <c r="F197" s="3"/>
      <c r="G197" s="3"/>
      <c r="H197" s="11"/>
      <c r="I197" s="3"/>
      <c r="J197" s="3"/>
      <c r="K197" s="3"/>
      <c r="L197" s="3"/>
      <c r="M197" s="3"/>
      <c r="N197" s="3"/>
      <c r="O197" s="3"/>
      <c r="P197" s="3"/>
      <c r="Q197" s="3"/>
      <c r="R197" s="3"/>
      <c r="S197" s="3"/>
      <c r="T197" s="3"/>
      <c r="U197" s="3"/>
      <c r="V197" s="3"/>
      <c r="W197" s="3"/>
      <c r="X197" s="3"/>
      <c r="Y197" s="3"/>
      <c r="Z197" s="3"/>
    </row>
    <row r="198" spans="1:26" ht="15.75" customHeight="1" x14ac:dyDescent="0.3">
      <c r="A198" s="3"/>
      <c r="B198" s="3"/>
      <c r="C198" s="3"/>
      <c r="D198" s="3"/>
      <c r="E198" s="3"/>
      <c r="F198" s="3"/>
      <c r="G198" s="3"/>
      <c r="H198" s="11"/>
      <c r="I198" s="3"/>
      <c r="J198" s="3"/>
      <c r="K198" s="3"/>
      <c r="L198" s="3"/>
      <c r="M198" s="3"/>
      <c r="N198" s="3"/>
      <c r="O198" s="3"/>
      <c r="P198" s="3"/>
      <c r="Q198" s="3"/>
      <c r="R198" s="3"/>
      <c r="S198" s="3"/>
      <c r="T198" s="3"/>
      <c r="U198" s="3"/>
      <c r="V198" s="3"/>
      <c r="W198" s="3"/>
      <c r="X198" s="3"/>
      <c r="Y198" s="3"/>
      <c r="Z198" s="3"/>
    </row>
    <row r="199" spans="1:26" ht="15.75" customHeight="1" x14ac:dyDescent="0.3">
      <c r="A199" s="3"/>
      <c r="B199" s="3"/>
      <c r="C199" s="3"/>
      <c r="D199" s="3"/>
      <c r="E199" s="3"/>
      <c r="F199" s="3"/>
      <c r="G199" s="3"/>
      <c r="H199" s="11"/>
      <c r="I199" s="3"/>
      <c r="J199" s="3"/>
      <c r="K199" s="3"/>
      <c r="L199" s="3"/>
      <c r="M199" s="3"/>
      <c r="N199" s="3"/>
      <c r="O199" s="3"/>
      <c r="P199" s="3"/>
      <c r="Q199" s="3"/>
      <c r="R199" s="3"/>
      <c r="S199" s="3"/>
      <c r="T199" s="3"/>
      <c r="U199" s="3"/>
      <c r="V199" s="3"/>
      <c r="W199" s="3"/>
      <c r="X199" s="3"/>
      <c r="Y199" s="3"/>
      <c r="Z199" s="3"/>
    </row>
    <row r="200" spans="1:26" ht="15.75" customHeight="1" x14ac:dyDescent="0.3">
      <c r="A200" s="3"/>
      <c r="B200" s="3"/>
      <c r="C200" s="3"/>
      <c r="D200" s="3"/>
      <c r="E200" s="3"/>
      <c r="F200" s="3"/>
      <c r="G200" s="3"/>
      <c r="H200" s="11"/>
      <c r="I200" s="3"/>
      <c r="J200" s="3"/>
      <c r="K200" s="3"/>
      <c r="L200" s="3"/>
      <c r="M200" s="3"/>
      <c r="N200" s="3"/>
      <c r="O200" s="3"/>
      <c r="P200" s="3"/>
      <c r="Q200" s="3"/>
      <c r="R200" s="3"/>
      <c r="S200" s="3"/>
      <c r="T200" s="3"/>
      <c r="U200" s="3"/>
      <c r="V200" s="3"/>
      <c r="W200" s="3"/>
      <c r="X200" s="3"/>
      <c r="Y200" s="3"/>
      <c r="Z200" s="3"/>
    </row>
    <row r="201" spans="1:26" ht="15.75" customHeight="1" x14ac:dyDescent="0.3">
      <c r="A201" s="3"/>
      <c r="B201" s="3"/>
      <c r="C201" s="3"/>
      <c r="D201" s="3"/>
      <c r="E201" s="3"/>
      <c r="F201" s="3"/>
      <c r="G201" s="3"/>
      <c r="H201" s="11"/>
      <c r="I201" s="3"/>
      <c r="J201" s="3"/>
      <c r="K201" s="3"/>
      <c r="L201" s="3"/>
      <c r="M201" s="3"/>
      <c r="N201" s="3"/>
      <c r="O201" s="3"/>
      <c r="P201" s="3"/>
      <c r="Q201" s="3"/>
      <c r="R201" s="3"/>
      <c r="S201" s="3"/>
      <c r="T201" s="3"/>
      <c r="U201" s="3"/>
      <c r="V201" s="3"/>
      <c r="W201" s="3"/>
      <c r="X201" s="3"/>
      <c r="Y201" s="3"/>
      <c r="Z201" s="3"/>
    </row>
    <row r="202" spans="1:26" ht="15.75" customHeight="1" x14ac:dyDescent="0.3">
      <c r="A202" s="3"/>
      <c r="B202" s="3"/>
      <c r="C202" s="3"/>
      <c r="D202" s="3"/>
      <c r="E202" s="3"/>
      <c r="F202" s="3"/>
      <c r="G202" s="3"/>
      <c r="H202" s="11"/>
      <c r="I202" s="3"/>
      <c r="J202" s="3"/>
      <c r="K202" s="3"/>
      <c r="L202" s="3"/>
      <c r="M202" s="3"/>
      <c r="N202" s="3"/>
      <c r="O202" s="3"/>
      <c r="P202" s="3"/>
      <c r="Q202" s="3"/>
      <c r="R202" s="3"/>
      <c r="S202" s="3"/>
      <c r="T202" s="3"/>
      <c r="U202" s="3"/>
      <c r="V202" s="3"/>
      <c r="W202" s="3"/>
      <c r="X202" s="3"/>
      <c r="Y202" s="3"/>
      <c r="Z202" s="3"/>
    </row>
    <row r="203" spans="1:26" ht="15.75" customHeight="1" x14ac:dyDescent="0.3">
      <c r="A203" s="3"/>
      <c r="B203" s="3"/>
      <c r="C203" s="3"/>
      <c r="D203" s="3"/>
      <c r="E203" s="3"/>
      <c r="F203" s="3"/>
      <c r="G203" s="3"/>
      <c r="H203" s="11"/>
      <c r="I203" s="3"/>
      <c r="J203" s="3"/>
      <c r="K203" s="3"/>
      <c r="L203" s="3"/>
      <c r="M203" s="3"/>
      <c r="N203" s="3"/>
      <c r="O203" s="3"/>
      <c r="P203" s="3"/>
      <c r="Q203" s="3"/>
      <c r="R203" s="3"/>
      <c r="S203" s="3"/>
      <c r="T203" s="3"/>
      <c r="U203" s="3"/>
      <c r="V203" s="3"/>
      <c r="W203" s="3"/>
      <c r="X203" s="3"/>
      <c r="Y203" s="3"/>
      <c r="Z203" s="3"/>
    </row>
    <row r="204" spans="1:26" ht="15.75" customHeight="1" x14ac:dyDescent="0.3">
      <c r="A204" s="3"/>
      <c r="B204" s="3"/>
      <c r="C204" s="3"/>
      <c r="D204" s="3"/>
      <c r="E204" s="3"/>
      <c r="F204" s="3"/>
      <c r="G204" s="3"/>
      <c r="H204" s="11"/>
      <c r="I204" s="3"/>
      <c r="J204" s="3"/>
      <c r="K204" s="3"/>
      <c r="L204" s="3"/>
      <c r="M204" s="3"/>
      <c r="N204" s="3"/>
      <c r="O204" s="3"/>
      <c r="P204" s="3"/>
      <c r="Q204" s="3"/>
      <c r="R204" s="3"/>
      <c r="S204" s="3"/>
      <c r="T204" s="3"/>
      <c r="U204" s="3"/>
      <c r="V204" s="3"/>
      <c r="W204" s="3"/>
      <c r="X204" s="3"/>
      <c r="Y204" s="3"/>
      <c r="Z204" s="3"/>
    </row>
    <row r="205" spans="1:26" ht="15.75" customHeight="1" x14ac:dyDescent="0.3">
      <c r="A205" s="3"/>
      <c r="B205" s="3"/>
      <c r="C205" s="3"/>
      <c r="D205" s="3"/>
      <c r="E205" s="3"/>
      <c r="F205" s="3"/>
      <c r="G205" s="3"/>
      <c r="H205" s="11"/>
      <c r="I205" s="3"/>
      <c r="J205" s="3"/>
      <c r="K205" s="3"/>
      <c r="L205" s="3"/>
      <c r="M205" s="3"/>
      <c r="N205" s="3"/>
      <c r="O205" s="3"/>
      <c r="P205" s="3"/>
      <c r="Q205" s="3"/>
      <c r="R205" s="3"/>
      <c r="S205" s="3"/>
      <c r="T205" s="3"/>
      <c r="U205" s="3"/>
      <c r="V205" s="3"/>
      <c r="W205" s="3"/>
      <c r="X205" s="3"/>
      <c r="Y205" s="3"/>
      <c r="Z205" s="3"/>
    </row>
    <row r="206" spans="1:26" ht="15.75" customHeight="1" x14ac:dyDescent="0.3">
      <c r="A206" s="3"/>
      <c r="B206" s="3"/>
      <c r="C206" s="3"/>
      <c r="D206" s="3"/>
      <c r="E206" s="3"/>
      <c r="F206" s="3"/>
      <c r="G206" s="3"/>
      <c r="H206" s="11"/>
      <c r="I206" s="3"/>
      <c r="J206" s="3"/>
      <c r="K206" s="3"/>
      <c r="L206" s="3"/>
      <c r="M206" s="3"/>
      <c r="N206" s="3"/>
      <c r="O206" s="3"/>
      <c r="P206" s="3"/>
      <c r="Q206" s="3"/>
      <c r="R206" s="3"/>
      <c r="S206" s="3"/>
      <c r="T206" s="3"/>
      <c r="U206" s="3"/>
      <c r="V206" s="3"/>
      <c r="W206" s="3"/>
      <c r="X206" s="3"/>
      <c r="Y206" s="3"/>
      <c r="Z206" s="3"/>
    </row>
    <row r="207" spans="1:26" ht="15.75" customHeight="1" x14ac:dyDescent="0.3">
      <c r="A207" s="3"/>
      <c r="B207" s="3"/>
      <c r="C207" s="3"/>
      <c r="D207" s="3"/>
      <c r="E207" s="3"/>
      <c r="F207" s="3"/>
      <c r="G207" s="3"/>
      <c r="H207" s="11"/>
      <c r="I207" s="3"/>
      <c r="J207" s="3"/>
      <c r="K207" s="3"/>
      <c r="L207" s="3"/>
      <c r="M207" s="3"/>
      <c r="N207" s="3"/>
      <c r="O207" s="3"/>
      <c r="P207" s="3"/>
      <c r="Q207" s="3"/>
      <c r="R207" s="3"/>
      <c r="S207" s="3"/>
      <c r="T207" s="3"/>
      <c r="U207" s="3"/>
      <c r="V207" s="3"/>
      <c r="W207" s="3"/>
      <c r="X207" s="3"/>
      <c r="Y207" s="3"/>
      <c r="Z207" s="3"/>
    </row>
    <row r="208" spans="1:26" ht="15.75" customHeight="1" x14ac:dyDescent="0.3">
      <c r="A208" s="3"/>
      <c r="B208" s="3"/>
      <c r="C208" s="3"/>
      <c r="D208" s="3"/>
      <c r="E208" s="3"/>
      <c r="F208" s="3"/>
      <c r="G208" s="3"/>
      <c r="H208" s="11"/>
      <c r="I208" s="3"/>
      <c r="J208" s="3"/>
      <c r="K208" s="3"/>
      <c r="L208" s="3"/>
      <c r="M208" s="3"/>
      <c r="N208" s="3"/>
      <c r="O208" s="3"/>
      <c r="P208" s="3"/>
      <c r="Q208" s="3"/>
      <c r="R208" s="3"/>
      <c r="S208" s="3"/>
      <c r="T208" s="3"/>
      <c r="U208" s="3"/>
      <c r="V208" s="3"/>
      <c r="W208" s="3"/>
      <c r="X208" s="3"/>
      <c r="Y208" s="3"/>
      <c r="Z208" s="3"/>
    </row>
    <row r="209" spans="1:26" ht="15.75" customHeight="1" x14ac:dyDescent="0.3">
      <c r="A209" s="3"/>
      <c r="B209" s="3"/>
      <c r="C209" s="3"/>
      <c r="D209" s="3"/>
      <c r="E209" s="3"/>
      <c r="F209" s="3"/>
      <c r="G209" s="3"/>
      <c r="H209" s="11"/>
      <c r="I209" s="3"/>
      <c r="J209" s="3"/>
      <c r="K209" s="3"/>
      <c r="L209" s="3"/>
      <c r="M209" s="3"/>
      <c r="N209" s="3"/>
      <c r="O209" s="3"/>
      <c r="P209" s="3"/>
      <c r="Q209" s="3"/>
      <c r="R209" s="3"/>
      <c r="S209" s="3"/>
      <c r="T209" s="3"/>
      <c r="U209" s="3"/>
      <c r="V209" s="3"/>
      <c r="W209" s="3"/>
      <c r="X209" s="3"/>
      <c r="Y209" s="3"/>
      <c r="Z209" s="3"/>
    </row>
    <row r="210" spans="1:26" ht="15.75" customHeight="1" x14ac:dyDescent="0.3">
      <c r="A210" s="3"/>
      <c r="B210" s="3"/>
      <c r="C210" s="3"/>
      <c r="D210" s="3"/>
      <c r="E210" s="3"/>
      <c r="F210" s="3"/>
      <c r="G210" s="3"/>
      <c r="H210" s="11"/>
      <c r="I210" s="3"/>
      <c r="J210" s="3"/>
      <c r="K210" s="3"/>
      <c r="L210" s="3"/>
      <c r="M210" s="3"/>
      <c r="N210" s="3"/>
      <c r="O210" s="3"/>
      <c r="P210" s="3"/>
      <c r="Q210" s="3"/>
      <c r="R210" s="3"/>
      <c r="S210" s="3"/>
      <c r="T210" s="3"/>
      <c r="U210" s="3"/>
      <c r="V210" s="3"/>
      <c r="W210" s="3"/>
      <c r="X210" s="3"/>
      <c r="Y210" s="3"/>
      <c r="Z210" s="3"/>
    </row>
    <row r="211" spans="1:26" ht="15.75" customHeight="1" x14ac:dyDescent="0.3">
      <c r="A211" s="3"/>
      <c r="B211" s="3"/>
      <c r="C211" s="3"/>
      <c r="D211" s="3"/>
      <c r="E211" s="3"/>
      <c r="F211" s="3"/>
      <c r="G211" s="3"/>
      <c r="H211" s="11"/>
      <c r="I211" s="3"/>
      <c r="J211" s="3"/>
      <c r="K211" s="3"/>
      <c r="L211" s="3"/>
      <c r="M211" s="3"/>
      <c r="N211" s="3"/>
      <c r="O211" s="3"/>
      <c r="P211" s="3"/>
      <c r="Q211" s="3"/>
      <c r="R211" s="3"/>
      <c r="S211" s="3"/>
      <c r="T211" s="3"/>
      <c r="U211" s="3"/>
      <c r="V211" s="3"/>
      <c r="W211" s="3"/>
      <c r="X211" s="3"/>
      <c r="Y211" s="3"/>
      <c r="Z211" s="3"/>
    </row>
    <row r="212" spans="1:26" ht="15.75" customHeight="1" x14ac:dyDescent="0.3">
      <c r="A212" s="3"/>
      <c r="B212" s="3"/>
      <c r="C212" s="3"/>
      <c r="D212" s="3"/>
      <c r="E212" s="3"/>
      <c r="F212" s="3"/>
      <c r="G212" s="3"/>
      <c r="H212" s="11"/>
      <c r="I212" s="3"/>
      <c r="J212" s="3"/>
      <c r="K212" s="3"/>
      <c r="L212" s="3"/>
      <c r="M212" s="3"/>
      <c r="N212" s="3"/>
      <c r="O212" s="3"/>
      <c r="P212" s="3"/>
      <c r="Q212" s="3"/>
      <c r="R212" s="3"/>
      <c r="S212" s="3"/>
      <c r="T212" s="3"/>
      <c r="U212" s="3"/>
      <c r="V212" s="3"/>
      <c r="W212" s="3"/>
      <c r="X212" s="3"/>
      <c r="Y212" s="3"/>
      <c r="Z212" s="3"/>
    </row>
    <row r="213" spans="1:26" ht="15.75" customHeight="1" x14ac:dyDescent="0.3">
      <c r="A213" s="3"/>
      <c r="B213" s="3"/>
      <c r="C213" s="3"/>
      <c r="D213" s="3"/>
      <c r="E213" s="3"/>
      <c r="F213" s="3"/>
      <c r="G213" s="3"/>
      <c r="H213" s="11"/>
      <c r="I213" s="3"/>
      <c r="J213" s="3"/>
      <c r="K213" s="3"/>
      <c r="L213" s="3"/>
      <c r="M213" s="3"/>
      <c r="N213" s="3"/>
      <c r="O213" s="3"/>
      <c r="P213" s="3"/>
      <c r="Q213" s="3"/>
      <c r="R213" s="3"/>
      <c r="S213" s="3"/>
      <c r="T213" s="3"/>
      <c r="U213" s="3"/>
      <c r="V213" s="3"/>
      <c r="W213" s="3"/>
      <c r="X213" s="3"/>
      <c r="Y213" s="3"/>
      <c r="Z213" s="3"/>
    </row>
    <row r="214" spans="1:26" ht="15.75" customHeight="1" x14ac:dyDescent="0.3">
      <c r="A214" s="3"/>
      <c r="B214" s="3"/>
      <c r="C214" s="3"/>
      <c r="D214" s="3"/>
      <c r="E214" s="3"/>
      <c r="F214" s="3"/>
      <c r="G214" s="3"/>
      <c r="H214" s="11"/>
      <c r="I214" s="3"/>
      <c r="J214" s="3"/>
      <c r="K214" s="3"/>
      <c r="L214" s="3"/>
      <c r="M214" s="3"/>
      <c r="N214" s="3"/>
      <c r="O214" s="3"/>
      <c r="P214" s="3"/>
      <c r="Q214" s="3"/>
      <c r="R214" s="3"/>
      <c r="S214" s="3"/>
      <c r="T214" s="3"/>
      <c r="U214" s="3"/>
      <c r="V214" s="3"/>
      <c r="W214" s="3"/>
      <c r="X214" s="3"/>
      <c r="Y214" s="3"/>
      <c r="Z214" s="3"/>
    </row>
    <row r="215" spans="1:26" ht="15.75" customHeight="1" x14ac:dyDescent="0.3">
      <c r="A215" s="3"/>
      <c r="B215" s="3"/>
      <c r="C215" s="3"/>
      <c r="D215" s="3"/>
      <c r="E215" s="3"/>
      <c r="F215" s="3"/>
      <c r="G215" s="3"/>
      <c r="H215" s="11"/>
      <c r="I215" s="3"/>
      <c r="J215" s="3"/>
      <c r="K215" s="3"/>
      <c r="L215" s="3"/>
      <c r="M215" s="3"/>
      <c r="N215" s="3"/>
      <c r="O215" s="3"/>
      <c r="P215" s="3"/>
      <c r="Q215" s="3"/>
      <c r="R215" s="3"/>
      <c r="S215" s="3"/>
      <c r="T215" s="3"/>
      <c r="U215" s="3"/>
      <c r="V215" s="3"/>
      <c r="W215" s="3"/>
      <c r="X215" s="3"/>
      <c r="Y215" s="3"/>
      <c r="Z215" s="3"/>
    </row>
    <row r="216" spans="1:26" ht="15.75" customHeight="1" x14ac:dyDescent="0.3">
      <c r="A216" s="3"/>
      <c r="B216" s="3"/>
      <c r="C216" s="3"/>
      <c r="D216" s="3"/>
      <c r="E216" s="3"/>
      <c r="F216" s="3"/>
      <c r="G216" s="3"/>
      <c r="H216" s="11"/>
      <c r="I216" s="3"/>
      <c r="J216" s="3"/>
      <c r="K216" s="3"/>
      <c r="L216" s="3"/>
      <c r="M216" s="3"/>
      <c r="N216" s="3"/>
      <c r="O216" s="3"/>
      <c r="P216" s="3"/>
      <c r="Q216" s="3"/>
      <c r="R216" s="3"/>
      <c r="S216" s="3"/>
      <c r="T216" s="3"/>
      <c r="U216" s="3"/>
      <c r="V216" s="3"/>
      <c r="W216" s="3"/>
      <c r="X216" s="3"/>
      <c r="Y216" s="3"/>
      <c r="Z216" s="3"/>
    </row>
    <row r="217" spans="1:26" ht="15.75" customHeight="1" x14ac:dyDescent="0.3">
      <c r="A217" s="3"/>
      <c r="B217" s="3"/>
      <c r="C217" s="3"/>
      <c r="D217" s="3"/>
      <c r="E217" s="3"/>
      <c r="F217" s="3"/>
      <c r="G217" s="3"/>
      <c r="H217" s="11"/>
      <c r="I217" s="3"/>
      <c r="J217" s="3"/>
      <c r="K217" s="3"/>
      <c r="L217" s="3"/>
      <c r="M217" s="3"/>
      <c r="N217" s="3"/>
      <c r="O217" s="3"/>
      <c r="P217" s="3"/>
      <c r="Q217" s="3"/>
      <c r="R217" s="3"/>
      <c r="S217" s="3"/>
      <c r="T217" s="3"/>
      <c r="U217" s="3"/>
      <c r="V217" s="3"/>
      <c r="W217" s="3"/>
      <c r="X217" s="3"/>
      <c r="Y217" s="3"/>
      <c r="Z217" s="3"/>
    </row>
    <row r="218" spans="1:26" ht="15.75" customHeight="1" x14ac:dyDescent="0.3">
      <c r="A218" s="3"/>
      <c r="B218" s="3"/>
      <c r="C218" s="3"/>
      <c r="D218" s="3"/>
      <c r="E218" s="3"/>
      <c r="F218" s="3"/>
      <c r="G218" s="3"/>
      <c r="H218" s="11"/>
      <c r="I218" s="3"/>
      <c r="J218" s="3"/>
      <c r="K218" s="3"/>
      <c r="L218" s="3"/>
      <c r="M218" s="3"/>
      <c r="N218" s="3"/>
      <c r="O218" s="3"/>
      <c r="P218" s="3"/>
      <c r="Q218" s="3"/>
      <c r="R218" s="3"/>
      <c r="S218" s="3"/>
      <c r="T218" s="3"/>
      <c r="U218" s="3"/>
      <c r="V218" s="3"/>
      <c r="W218" s="3"/>
      <c r="X218" s="3"/>
      <c r="Y218" s="3"/>
      <c r="Z218" s="3"/>
    </row>
    <row r="219" spans="1:26" ht="15.75" customHeight="1" x14ac:dyDescent="0.3">
      <c r="A219" s="3"/>
      <c r="B219" s="3"/>
      <c r="C219" s="3"/>
      <c r="D219" s="3"/>
      <c r="E219" s="3"/>
      <c r="F219" s="3"/>
      <c r="G219" s="3"/>
      <c r="H219" s="11"/>
      <c r="I219" s="3"/>
      <c r="J219" s="3"/>
      <c r="K219" s="3"/>
      <c r="L219" s="3"/>
      <c r="M219" s="3"/>
      <c r="N219" s="3"/>
      <c r="O219" s="3"/>
      <c r="P219" s="3"/>
      <c r="Q219" s="3"/>
      <c r="R219" s="3"/>
      <c r="S219" s="3"/>
      <c r="T219" s="3"/>
      <c r="U219" s="3"/>
      <c r="V219" s="3"/>
      <c r="W219" s="3"/>
      <c r="X219" s="3"/>
      <c r="Y219" s="3"/>
      <c r="Z219" s="3"/>
    </row>
    <row r="220" spans="1:26" ht="15.75" customHeight="1" x14ac:dyDescent="0.3">
      <c r="A220" s="3"/>
      <c r="B220" s="3"/>
      <c r="C220" s="3"/>
      <c r="D220" s="3"/>
      <c r="E220" s="3"/>
      <c r="F220" s="3"/>
      <c r="G220" s="3"/>
      <c r="H220" s="11"/>
      <c r="I220" s="3"/>
      <c r="J220" s="3"/>
      <c r="K220" s="3"/>
      <c r="L220" s="3"/>
      <c r="M220" s="3"/>
      <c r="N220" s="3"/>
      <c r="O220" s="3"/>
      <c r="P220" s="3"/>
      <c r="Q220" s="3"/>
      <c r="R220" s="3"/>
      <c r="S220" s="3"/>
      <c r="T220" s="3"/>
      <c r="U220" s="3"/>
      <c r="V220" s="3"/>
      <c r="W220" s="3"/>
      <c r="X220" s="3"/>
      <c r="Y220" s="3"/>
      <c r="Z220" s="3"/>
    </row>
    <row r="221" spans="1:26" ht="15.75" customHeight="1" x14ac:dyDescent="0.3">
      <c r="A221" s="3"/>
      <c r="B221" s="3"/>
      <c r="C221" s="3"/>
      <c r="D221" s="3"/>
      <c r="E221" s="3"/>
      <c r="F221" s="3"/>
      <c r="G221" s="3"/>
      <c r="H221" s="11"/>
      <c r="I221" s="3"/>
      <c r="J221" s="3"/>
      <c r="K221" s="3"/>
      <c r="L221" s="3"/>
      <c r="M221" s="3"/>
      <c r="N221" s="3"/>
      <c r="O221" s="3"/>
      <c r="P221" s="3"/>
      <c r="Q221" s="3"/>
      <c r="R221" s="3"/>
      <c r="S221" s="3"/>
      <c r="T221" s="3"/>
      <c r="U221" s="3"/>
      <c r="V221" s="3"/>
      <c r="W221" s="3"/>
      <c r="X221" s="3"/>
      <c r="Y221" s="3"/>
      <c r="Z221" s="3"/>
    </row>
    <row r="222" spans="1:26" ht="15.75" customHeight="1" x14ac:dyDescent="0.3">
      <c r="A222" s="3"/>
      <c r="B222" s="3"/>
      <c r="C222" s="3"/>
      <c r="D222" s="3"/>
      <c r="E222" s="3"/>
      <c r="F222" s="3"/>
      <c r="G222" s="3"/>
      <c r="H222" s="11"/>
      <c r="I222" s="3"/>
      <c r="J222" s="3"/>
      <c r="K222" s="3"/>
      <c r="L222" s="3"/>
      <c r="M222" s="3"/>
      <c r="N222" s="3"/>
      <c r="O222" s="3"/>
      <c r="P222" s="3"/>
      <c r="Q222" s="3"/>
      <c r="R222" s="3"/>
      <c r="S222" s="3"/>
      <c r="T222" s="3"/>
      <c r="U222" s="3"/>
      <c r="V222" s="3"/>
      <c r="W222" s="3"/>
      <c r="X222" s="3"/>
      <c r="Y222" s="3"/>
      <c r="Z222" s="3"/>
    </row>
    <row r="223" spans="1:26" ht="15.75" customHeight="1" x14ac:dyDescent="0.3">
      <c r="A223" s="3"/>
      <c r="B223" s="3"/>
      <c r="C223" s="3"/>
      <c r="D223" s="3"/>
      <c r="E223" s="3"/>
      <c r="F223" s="3"/>
      <c r="G223" s="3"/>
      <c r="H223" s="11"/>
      <c r="I223" s="3"/>
      <c r="J223" s="3"/>
      <c r="K223" s="3"/>
      <c r="L223" s="3"/>
      <c r="M223" s="3"/>
      <c r="N223" s="3"/>
      <c r="O223" s="3"/>
      <c r="P223" s="3"/>
      <c r="Q223" s="3"/>
      <c r="R223" s="3"/>
      <c r="S223" s="3"/>
      <c r="T223" s="3"/>
      <c r="U223" s="3"/>
      <c r="V223" s="3"/>
      <c r="W223" s="3"/>
      <c r="X223" s="3"/>
      <c r="Y223" s="3"/>
      <c r="Z223" s="3"/>
    </row>
    <row r="224" spans="1:26" ht="15.75" customHeight="1" x14ac:dyDescent="0.3">
      <c r="A224" s="3"/>
      <c r="B224" s="3"/>
      <c r="C224" s="3"/>
      <c r="D224" s="3"/>
      <c r="E224" s="3"/>
      <c r="F224" s="3"/>
      <c r="G224" s="3"/>
      <c r="H224" s="11"/>
      <c r="I224" s="3"/>
      <c r="J224" s="3"/>
      <c r="K224" s="3"/>
      <c r="L224" s="3"/>
      <c r="M224" s="3"/>
      <c r="N224" s="3"/>
      <c r="O224" s="3"/>
      <c r="P224" s="3"/>
      <c r="Q224" s="3"/>
      <c r="R224" s="3"/>
      <c r="S224" s="3"/>
      <c r="T224" s="3"/>
      <c r="U224" s="3"/>
      <c r="V224" s="3"/>
      <c r="W224" s="3"/>
      <c r="X224" s="3"/>
      <c r="Y224" s="3"/>
      <c r="Z224" s="3"/>
    </row>
    <row r="225" spans="1:26" ht="15.75" customHeight="1" x14ac:dyDescent="0.3">
      <c r="A225" s="3"/>
      <c r="B225" s="3"/>
      <c r="C225" s="3"/>
      <c r="D225" s="3"/>
      <c r="E225" s="3"/>
      <c r="F225" s="3"/>
      <c r="G225" s="3"/>
      <c r="H225" s="11"/>
      <c r="I225" s="3"/>
      <c r="J225" s="3"/>
      <c r="K225" s="3"/>
      <c r="L225" s="3"/>
      <c r="M225" s="3"/>
      <c r="N225" s="3"/>
      <c r="O225" s="3"/>
      <c r="P225" s="3"/>
      <c r="Q225" s="3"/>
      <c r="R225" s="3"/>
      <c r="S225" s="3"/>
      <c r="T225" s="3"/>
      <c r="U225" s="3"/>
      <c r="V225" s="3"/>
      <c r="W225" s="3"/>
      <c r="X225" s="3"/>
      <c r="Y225" s="3"/>
      <c r="Z225" s="3"/>
    </row>
    <row r="226" spans="1:26" ht="15.75" customHeight="1" x14ac:dyDescent="0.3">
      <c r="A226" s="3"/>
      <c r="B226" s="3"/>
      <c r="C226" s="3"/>
      <c r="D226" s="3"/>
      <c r="E226" s="3"/>
      <c r="F226" s="3"/>
      <c r="G226" s="3"/>
      <c r="H226" s="11"/>
      <c r="I226" s="3"/>
      <c r="J226" s="3"/>
      <c r="K226" s="3"/>
      <c r="L226" s="3"/>
      <c r="M226" s="3"/>
      <c r="N226" s="3"/>
      <c r="O226" s="3"/>
      <c r="P226" s="3"/>
      <c r="Q226" s="3"/>
      <c r="R226" s="3"/>
      <c r="S226" s="3"/>
      <c r="T226" s="3"/>
      <c r="U226" s="3"/>
      <c r="V226" s="3"/>
      <c r="W226" s="3"/>
      <c r="X226" s="3"/>
      <c r="Y226" s="3"/>
      <c r="Z226" s="3"/>
    </row>
    <row r="227" spans="1:26" ht="15.75" customHeight="1" x14ac:dyDescent="0.3">
      <c r="A227" s="3"/>
      <c r="B227" s="3"/>
      <c r="C227" s="3"/>
      <c r="D227" s="3"/>
      <c r="E227" s="3"/>
      <c r="F227" s="3"/>
      <c r="G227" s="3"/>
      <c r="H227" s="11"/>
      <c r="I227" s="3"/>
      <c r="J227" s="3"/>
      <c r="K227" s="3"/>
      <c r="L227" s="3"/>
      <c r="M227" s="3"/>
      <c r="N227" s="3"/>
      <c r="O227" s="3"/>
      <c r="P227" s="3"/>
      <c r="Q227" s="3"/>
      <c r="R227" s="3"/>
      <c r="S227" s="3"/>
      <c r="T227" s="3"/>
      <c r="U227" s="3"/>
      <c r="V227" s="3"/>
      <c r="W227" s="3"/>
      <c r="X227" s="3"/>
      <c r="Y227" s="3"/>
      <c r="Z227" s="3"/>
    </row>
    <row r="228" spans="1:26" ht="15.75" customHeight="1" x14ac:dyDescent="0.3">
      <c r="A228" s="3"/>
      <c r="B228" s="3"/>
      <c r="C228" s="3"/>
      <c r="D228" s="3"/>
      <c r="E228" s="3"/>
      <c r="F228" s="3"/>
      <c r="G228" s="3"/>
      <c r="H228" s="11"/>
      <c r="I228" s="3"/>
      <c r="J228" s="3"/>
      <c r="K228" s="3"/>
      <c r="L228" s="3"/>
      <c r="M228" s="3"/>
      <c r="N228" s="3"/>
      <c r="O228" s="3"/>
      <c r="P228" s="3"/>
      <c r="Q228" s="3"/>
      <c r="R228" s="3"/>
      <c r="S228" s="3"/>
      <c r="T228" s="3"/>
      <c r="U228" s="3"/>
      <c r="V228" s="3"/>
      <c r="W228" s="3"/>
      <c r="X228" s="3"/>
      <c r="Y228" s="3"/>
      <c r="Z228" s="3"/>
    </row>
    <row r="229" spans="1:26" ht="15.75" customHeight="1" x14ac:dyDescent="0.3">
      <c r="A229" s="3"/>
      <c r="B229" s="3"/>
      <c r="C229" s="3"/>
      <c r="D229" s="3"/>
      <c r="E229" s="3"/>
      <c r="F229" s="3"/>
      <c r="G229" s="3"/>
      <c r="H229" s="11"/>
      <c r="I229" s="3"/>
      <c r="J229" s="3"/>
      <c r="K229" s="3"/>
      <c r="L229" s="3"/>
      <c r="M229" s="3"/>
      <c r="N229" s="3"/>
      <c r="O229" s="3"/>
      <c r="P229" s="3"/>
      <c r="Q229" s="3"/>
      <c r="R229" s="3"/>
      <c r="S229" s="3"/>
      <c r="T229" s="3"/>
      <c r="U229" s="3"/>
      <c r="V229" s="3"/>
      <c r="W229" s="3"/>
      <c r="X229" s="3"/>
      <c r="Y229" s="3"/>
      <c r="Z229" s="3"/>
    </row>
    <row r="230" spans="1:26" ht="15.75" customHeight="1" x14ac:dyDescent="0.3">
      <c r="A230" s="3"/>
      <c r="B230" s="3"/>
      <c r="C230" s="3"/>
      <c r="D230" s="3"/>
      <c r="E230" s="3"/>
      <c r="F230" s="3"/>
      <c r="G230" s="3"/>
      <c r="H230" s="11"/>
      <c r="I230" s="3"/>
      <c r="J230" s="3"/>
      <c r="K230" s="3"/>
      <c r="L230" s="3"/>
      <c r="M230" s="3"/>
      <c r="N230" s="3"/>
      <c r="O230" s="3"/>
      <c r="P230" s="3"/>
      <c r="Q230" s="3"/>
      <c r="R230" s="3"/>
      <c r="S230" s="3"/>
      <c r="T230" s="3"/>
      <c r="U230" s="3"/>
      <c r="V230" s="3"/>
      <c r="W230" s="3"/>
      <c r="X230" s="3"/>
      <c r="Y230" s="3"/>
      <c r="Z230" s="3"/>
    </row>
    <row r="231" spans="1:26" ht="15.75" customHeight="1" x14ac:dyDescent="0.3">
      <c r="A231" s="3"/>
      <c r="B231" s="3"/>
      <c r="C231" s="3"/>
      <c r="D231" s="3"/>
      <c r="E231" s="3"/>
      <c r="F231" s="3"/>
      <c r="G231" s="3"/>
      <c r="H231" s="11"/>
      <c r="I231" s="3"/>
      <c r="J231" s="3"/>
      <c r="K231" s="3"/>
      <c r="L231" s="3"/>
      <c r="M231" s="3"/>
      <c r="N231" s="3"/>
      <c r="O231" s="3"/>
      <c r="P231" s="3"/>
      <c r="Q231" s="3"/>
      <c r="R231" s="3"/>
      <c r="S231" s="3"/>
      <c r="T231" s="3"/>
      <c r="U231" s="3"/>
      <c r="V231" s="3"/>
      <c r="W231" s="3"/>
      <c r="X231" s="3"/>
      <c r="Y231" s="3"/>
      <c r="Z231" s="3"/>
    </row>
    <row r="232" spans="1:26" ht="15.75" customHeight="1" x14ac:dyDescent="0.3">
      <c r="A232" s="3"/>
      <c r="B232" s="3"/>
      <c r="C232" s="3"/>
      <c r="D232" s="3"/>
      <c r="E232" s="3"/>
      <c r="F232" s="3"/>
      <c r="G232" s="3"/>
      <c r="H232" s="11"/>
      <c r="I232" s="3"/>
      <c r="J232" s="3"/>
      <c r="K232" s="3"/>
      <c r="L232" s="3"/>
      <c r="M232" s="3"/>
      <c r="N232" s="3"/>
      <c r="O232" s="3"/>
      <c r="P232" s="3"/>
      <c r="Q232" s="3"/>
      <c r="R232" s="3"/>
      <c r="S232" s="3"/>
      <c r="T232" s="3"/>
      <c r="U232" s="3"/>
      <c r="V232" s="3"/>
      <c r="W232" s="3"/>
      <c r="X232" s="3"/>
      <c r="Y232" s="3"/>
      <c r="Z232" s="3"/>
    </row>
    <row r="233" spans="1:26" ht="15.75" customHeight="1" x14ac:dyDescent="0.3">
      <c r="A233" s="3"/>
      <c r="B233" s="3"/>
      <c r="C233" s="3"/>
      <c r="D233" s="3"/>
      <c r="E233" s="3"/>
      <c r="F233" s="3"/>
      <c r="G233" s="3"/>
      <c r="H233" s="11"/>
      <c r="I233" s="3"/>
      <c r="J233" s="3"/>
      <c r="K233" s="3"/>
      <c r="L233" s="3"/>
      <c r="M233" s="3"/>
      <c r="N233" s="3"/>
      <c r="O233" s="3"/>
      <c r="P233" s="3"/>
      <c r="Q233" s="3"/>
      <c r="R233" s="3"/>
      <c r="S233" s="3"/>
      <c r="T233" s="3"/>
      <c r="U233" s="3"/>
      <c r="V233" s="3"/>
      <c r="W233" s="3"/>
      <c r="X233" s="3"/>
      <c r="Y233" s="3"/>
      <c r="Z233" s="3"/>
    </row>
    <row r="234" spans="1:26" ht="15.75" customHeight="1" x14ac:dyDescent="0.3">
      <c r="A234" s="3"/>
      <c r="B234" s="3"/>
      <c r="C234" s="3"/>
      <c r="D234" s="3"/>
      <c r="E234" s="3"/>
      <c r="F234" s="3"/>
      <c r="G234" s="3"/>
      <c r="H234" s="11"/>
      <c r="I234" s="3"/>
      <c r="J234" s="3"/>
      <c r="K234" s="3"/>
      <c r="L234" s="3"/>
      <c r="M234" s="3"/>
      <c r="N234" s="3"/>
      <c r="O234" s="3"/>
      <c r="P234" s="3"/>
      <c r="Q234" s="3"/>
      <c r="R234" s="3"/>
      <c r="S234" s="3"/>
      <c r="T234" s="3"/>
      <c r="U234" s="3"/>
      <c r="V234" s="3"/>
      <c r="W234" s="3"/>
      <c r="X234" s="3"/>
      <c r="Y234" s="3"/>
      <c r="Z234" s="3"/>
    </row>
    <row r="235" spans="1:26" ht="15.75" customHeight="1" x14ac:dyDescent="0.3">
      <c r="A235" s="3"/>
      <c r="B235" s="3"/>
      <c r="C235" s="3"/>
      <c r="D235" s="3"/>
      <c r="E235" s="3"/>
      <c r="F235" s="3"/>
      <c r="G235" s="3"/>
      <c r="H235" s="11"/>
      <c r="I235" s="3"/>
      <c r="J235" s="3"/>
      <c r="K235" s="3"/>
      <c r="L235" s="3"/>
      <c r="M235" s="3"/>
      <c r="N235" s="3"/>
      <c r="O235" s="3"/>
      <c r="P235" s="3"/>
      <c r="Q235" s="3"/>
      <c r="R235" s="3"/>
      <c r="S235" s="3"/>
      <c r="T235" s="3"/>
      <c r="U235" s="3"/>
      <c r="V235" s="3"/>
      <c r="W235" s="3"/>
      <c r="X235" s="3"/>
      <c r="Y235" s="3"/>
      <c r="Z235" s="3"/>
    </row>
    <row r="236" spans="1:26" ht="15.75" customHeight="1" x14ac:dyDescent="0.3">
      <c r="A236" s="3"/>
      <c r="B236" s="3"/>
      <c r="C236" s="3"/>
      <c r="D236" s="3"/>
      <c r="E236" s="3"/>
      <c r="F236" s="3"/>
      <c r="G236" s="3"/>
      <c r="H236" s="11"/>
      <c r="I236" s="3"/>
      <c r="J236" s="3"/>
      <c r="K236" s="3"/>
      <c r="L236" s="3"/>
      <c r="M236" s="3"/>
      <c r="N236" s="3"/>
      <c r="O236" s="3"/>
      <c r="P236" s="3"/>
      <c r="Q236" s="3"/>
      <c r="R236" s="3"/>
      <c r="S236" s="3"/>
      <c r="T236" s="3"/>
      <c r="U236" s="3"/>
      <c r="V236" s="3"/>
      <c r="W236" s="3"/>
      <c r="X236" s="3"/>
      <c r="Y236" s="3"/>
      <c r="Z236" s="3"/>
    </row>
    <row r="237" spans="1:26" ht="15.75" customHeight="1" x14ac:dyDescent="0.3">
      <c r="A237" s="3"/>
      <c r="B237" s="3"/>
      <c r="C237" s="3"/>
      <c r="D237" s="3"/>
      <c r="E237" s="3"/>
      <c r="F237" s="3"/>
      <c r="G237" s="3"/>
      <c r="H237" s="11"/>
      <c r="I237" s="3"/>
      <c r="J237" s="3"/>
      <c r="K237" s="3"/>
      <c r="L237" s="3"/>
      <c r="M237" s="3"/>
      <c r="N237" s="3"/>
      <c r="O237" s="3"/>
      <c r="P237" s="3"/>
      <c r="Q237" s="3"/>
      <c r="R237" s="3"/>
      <c r="S237" s="3"/>
      <c r="T237" s="3"/>
      <c r="U237" s="3"/>
      <c r="V237" s="3"/>
      <c r="W237" s="3"/>
      <c r="X237" s="3"/>
      <c r="Y237" s="3"/>
      <c r="Z237" s="3"/>
    </row>
    <row r="238" spans="1:26" ht="15.75" customHeight="1" x14ac:dyDescent="0.3">
      <c r="A238" s="3"/>
      <c r="B238" s="3"/>
      <c r="C238" s="3"/>
      <c r="D238" s="3"/>
      <c r="E238" s="3"/>
      <c r="F238" s="3"/>
      <c r="G238" s="3"/>
      <c r="H238" s="11"/>
      <c r="I238" s="3"/>
      <c r="J238" s="3"/>
      <c r="K238" s="3"/>
      <c r="L238" s="3"/>
      <c r="M238" s="3"/>
      <c r="N238" s="3"/>
      <c r="O238" s="3"/>
      <c r="P238" s="3"/>
      <c r="Q238" s="3"/>
      <c r="R238" s="3"/>
      <c r="S238" s="3"/>
      <c r="T238" s="3"/>
      <c r="U238" s="3"/>
      <c r="V238" s="3"/>
      <c r="W238" s="3"/>
      <c r="X238" s="3"/>
      <c r="Y238" s="3"/>
      <c r="Z238" s="3"/>
    </row>
    <row r="239" spans="1:26" ht="15.75" customHeight="1" x14ac:dyDescent="0.3">
      <c r="A239" s="3"/>
      <c r="B239" s="3"/>
      <c r="C239" s="3"/>
      <c r="D239" s="3"/>
      <c r="E239" s="3"/>
      <c r="F239" s="3"/>
      <c r="G239" s="3"/>
      <c r="H239" s="11"/>
      <c r="I239" s="3"/>
      <c r="J239" s="3"/>
      <c r="K239" s="3"/>
      <c r="L239" s="3"/>
      <c r="M239" s="3"/>
      <c r="N239" s="3"/>
      <c r="O239" s="3"/>
      <c r="P239" s="3"/>
      <c r="Q239" s="3"/>
      <c r="R239" s="3"/>
      <c r="S239" s="3"/>
      <c r="T239" s="3"/>
      <c r="U239" s="3"/>
      <c r="V239" s="3"/>
      <c r="W239" s="3"/>
      <c r="X239" s="3"/>
      <c r="Y239" s="3"/>
      <c r="Z239" s="3"/>
    </row>
    <row r="240" spans="1:26" ht="15.75" customHeight="1" x14ac:dyDescent="0.3">
      <c r="A240" s="3"/>
      <c r="B240" s="3"/>
      <c r="C240" s="3"/>
      <c r="D240" s="3"/>
      <c r="E240" s="3"/>
      <c r="F240" s="3"/>
      <c r="G240" s="3"/>
      <c r="H240" s="11"/>
      <c r="I240" s="3"/>
      <c r="J240" s="3"/>
      <c r="K240" s="3"/>
      <c r="L240" s="3"/>
      <c r="M240" s="3"/>
      <c r="N240" s="3"/>
      <c r="O240" s="3"/>
      <c r="P240" s="3"/>
      <c r="Q240" s="3"/>
      <c r="R240" s="3"/>
      <c r="S240" s="3"/>
      <c r="T240" s="3"/>
      <c r="U240" s="3"/>
      <c r="V240" s="3"/>
      <c r="W240" s="3"/>
      <c r="X240" s="3"/>
      <c r="Y240" s="3"/>
      <c r="Z240" s="3"/>
    </row>
    <row r="241" spans="1:26" ht="15.75" customHeight="1" x14ac:dyDescent="0.3">
      <c r="A241" s="3"/>
      <c r="B241" s="3"/>
      <c r="C241" s="3"/>
      <c r="D241" s="3"/>
      <c r="E241" s="3"/>
      <c r="F241" s="3"/>
      <c r="G241" s="3"/>
      <c r="H241" s="11"/>
      <c r="I241" s="3"/>
      <c r="J241" s="3"/>
      <c r="K241" s="3"/>
      <c r="L241" s="3"/>
      <c r="M241" s="3"/>
      <c r="N241" s="3"/>
      <c r="O241" s="3"/>
      <c r="P241" s="3"/>
      <c r="Q241" s="3"/>
      <c r="R241" s="3"/>
      <c r="S241" s="3"/>
      <c r="T241" s="3"/>
      <c r="U241" s="3"/>
      <c r="V241" s="3"/>
      <c r="W241" s="3"/>
      <c r="X241" s="3"/>
      <c r="Y241" s="3"/>
      <c r="Z241" s="3"/>
    </row>
    <row r="242" spans="1:26" ht="15.75" customHeight="1" x14ac:dyDescent="0.3">
      <c r="A242" s="3"/>
      <c r="B242" s="3"/>
      <c r="C242" s="3"/>
      <c r="D242" s="3"/>
      <c r="E242" s="3"/>
      <c r="F242" s="3"/>
      <c r="G242" s="3"/>
      <c r="H242" s="11"/>
      <c r="I242" s="3"/>
      <c r="J242" s="3"/>
      <c r="K242" s="3"/>
      <c r="L242" s="3"/>
      <c r="M242" s="3"/>
      <c r="N242" s="3"/>
      <c r="O242" s="3"/>
      <c r="P242" s="3"/>
      <c r="Q242" s="3"/>
      <c r="R242" s="3"/>
      <c r="S242" s="3"/>
      <c r="T242" s="3"/>
      <c r="U242" s="3"/>
      <c r="V242" s="3"/>
      <c r="W242" s="3"/>
      <c r="X242" s="3"/>
      <c r="Y242" s="3"/>
      <c r="Z242" s="3"/>
    </row>
    <row r="243" spans="1:26" ht="15.75" customHeight="1" x14ac:dyDescent="0.3">
      <c r="A243" s="3"/>
      <c r="B243" s="3"/>
      <c r="C243" s="3"/>
      <c r="D243" s="3"/>
      <c r="E243" s="3"/>
      <c r="F243" s="3"/>
      <c r="G243" s="3"/>
      <c r="H243" s="11"/>
      <c r="I243" s="3"/>
      <c r="J243" s="3"/>
      <c r="K243" s="3"/>
      <c r="L243" s="3"/>
      <c r="M243" s="3"/>
      <c r="N243" s="3"/>
      <c r="O243" s="3"/>
      <c r="P243" s="3"/>
      <c r="Q243" s="3"/>
      <c r="R243" s="3"/>
      <c r="S243" s="3"/>
      <c r="T243" s="3"/>
      <c r="U243" s="3"/>
      <c r="V243" s="3"/>
      <c r="W243" s="3"/>
      <c r="X243" s="3"/>
      <c r="Y243" s="3"/>
      <c r="Z243" s="3"/>
    </row>
    <row r="244" spans="1:26" ht="15.75" customHeight="1" x14ac:dyDescent="0.3">
      <c r="A244" s="3"/>
      <c r="B244" s="3"/>
      <c r="C244" s="3"/>
      <c r="D244" s="3"/>
      <c r="E244" s="3"/>
      <c r="F244" s="3"/>
      <c r="G244" s="3"/>
      <c r="H244" s="11"/>
      <c r="I244" s="3"/>
      <c r="J244" s="3"/>
      <c r="K244" s="3"/>
      <c r="L244" s="3"/>
      <c r="M244" s="3"/>
      <c r="N244" s="3"/>
      <c r="O244" s="3"/>
      <c r="P244" s="3"/>
      <c r="Q244" s="3"/>
      <c r="R244" s="3"/>
      <c r="S244" s="3"/>
      <c r="T244" s="3"/>
      <c r="U244" s="3"/>
      <c r="V244" s="3"/>
      <c r="W244" s="3"/>
      <c r="X244" s="3"/>
      <c r="Y244" s="3"/>
      <c r="Z244" s="3"/>
    </row>
    <row r="245" spans="1:26" ht="15.75" customHeight="1" x14ac:dyDescent="0.3">
      <c r="A245" s="3"/>
      <c r="B245" s="3"/>
      <c r="C245" s="3"/>
      <c r="D245" s="3"/>
      <c r="E245" s="3"/>
      <c r="F245" s="3"/>
      <c r="G245" s="3"/>
      <c r="H245" s="11"/>
      <c r="I245" s="3"/>
      <c r="J245" s="3"/>
      <c r="K245" s="3"/>
      <c r="L245" s="3"/>
      <c r="M245" s="3"/>
      <c r="N245" s="3"/>
      <c r="O245" s="3"/>
      <c r="P245" s="3"/>
      <c r="Q245" s="3"/>
      <c r="R245" s="3"/>
      <c r="S245" s="3"/>
      <c r="T245" s="3"/>
      <c r="U245" s="3"/>
      <c r="V245" s="3"/>
      <c r="W245" s="3"/>
      <c r="X245" s="3"/>
      <c r="Y245" s="3"/>
      <c r="Z245" s="3"/>
    </row>
    <row r="246" spans="1:26" ht="15.75" customHeight="1" x14ac:dyDescent="0.3">
      <c r="A246" s="3"/>
      <c r="B246" s="3"/>
      <c r="C246" s="3"/>
      <c r="D246" s="3"/>
      <c r="E246" s="3"/>
      <c r="F246" s="3"/>
      <c r="G246" s="3"/>
      <c r="H246" s="11"/>
      <c r="I246" s="3"/>
      <c r="J246" s="3"/>
      <c r="K246" s="3"/>
      <c r="L246" s="3"/>
      <c r="M246" s="3"/>
      <c r="N246" s="3"/>
      <c r="O246" s="3"/>
      <c r="P246" s="3"/>
      <c r="Q246" s="3"/>
      <c r="R246" s="3"/>
      <c r="S246" s="3"/>
      <c r="T246" s="3"/>
      <c r="U246" s="3"/>
      <c r="V246" s="3"/>
      <c r="W246" s="3"/>
      <c r="X246" s="3"/>
      <c r="Y246" s="3"/>
      <c r="Z246" s="3"/>
    </row>
    <row r="247" spans="1:26" ht="15.75" customHeight="1" x14ac:dyDescent="0.3">
      <c r="A247" s="3"/>
      <c r="B247" s="3"/>
      <c r="C247" s="3"/>
      <c r="D247" s="3"/>
      <c r="E247" s="3"/>
      <c r="F247" s="3"/>
      <c r="G247" s="3"/>
      <c r="H247" s="11"/>
      <c r="I247" s="3"/>
      <c r="J247" s="3"/>
      <c r="K247" s="3"/>
      <c r="L247" s="3"/>
      <c r="M247" s="3"/>
      <c r="N247" s="3"/>
      <c r="O247" s="3"/>
      <c r="P247" s="3"/>
      <c r="Q247" s="3"/>
      <c r="R247" s="3"/>
      <c r="S247" s="3"/>
      <c r="T247" s="3"/>
      <c r="U247" s="3"/>
      <c r="V247" s="3"/>
      <c r="W247" s="3"/>
      <c r="X247" s="3"/>
      <c r="Y247" s="3"/>
      <c r="Z247" s="3"/>
    </row>
    <row r="248" spans="1:26" ht="15.75" customHeight="1" x14ac:dyDescent="0.3">
      <c r="A248" s="3"/>
      <c r="B248" s="3"/>
      <c r="C248" s="3"/>
      <c r="D248" s="3"/>
      <c r="E248" s="3"/>
      <c r="F248" s="3"/>
      <c r="G248" s="3"/>
      <c r="H248" s="11"/>
      <c r="I248" s="3"/>
      <c r="J248" s="3"/>
      <c r="K248" s="3"/>
      <c r="L248" s="3"/>
      <c r="M248" s="3"/>
      <c r="N248" s="3"/>
      <c r="O248" s="3"/>
      <c r="P248" s="3"/>
      <c r="Q248" s="3"/>
      <c r="R248" s="3"/>
      <c r="S248" s="3"/>
      <c r="T248" s="3"/>
      <c r="U248" s="3"/>
      <c r="V248" s="3"/>
      <c r="W248" s="3"/>
      <c r="X248" s="3"/>
      <c r="Y248" s="3"/>
      <c r="Z248" s="3"/>
    </row>
    <row r="249" spans="1:26" ht="15.75" customHeight="1" x14ac:dyDescent="0.3">
      <c r="A249" s="3"/>
      <c r="B249" s="3"/>
      <c r="C249" s="3"/>
      <c r="D249" s="3"/>
      <c r="E249" s="3"/>
      <c r="F249" s="3"/>
      <c r="G249" s="3"/>
      <c r="H249" s="11"/>
      <c r="I249" s="3"/>
      <c r="J249" s="3"/>
      <c r="K249" s="3"/>
      <c r="L249" s="3"/>
      <c r="M249" s="3"/>
      <c r="N249" s="3"/>
      <c r="O249" s="3"/>
      <c r="P249" s="3"/>
      <c r="Q249" s="3"/>
      <c r="R249" s="3"/>
      <c r="S249" s="3"/>
      <c r="T249" s="3"/>
      <c r="U249" s="3"/>
      <c r="V249" s="3"/>
      <c r="W249" s="3"/>
      <c r="X249" s="3"/>
      <c r="Y249" s="3"/>
      <c r="Z249" s="3"/>
    </row>
    <row r="250" spans="1:26" ht="15.75" customHeight="1" x14ac:dyDescent="0.3"/>
    <row r="251" spans="1:26" ht="15.75" customHeight="1" x14ac:dyDescent="0.3"/>
    <row r="252" spans="1:26" ht="15.75" customHeight="1" x14ac:dyDescent="0.3"/>
    <row r="253" spans="1:26" ht="15.75" customHeight="1" x14ac:dyDescent="0.3"/>
    <row r="254" spans="1:26" ht="15.75" customHeight="1" x14ac:dyDescent="0.3"/>
    <row r="255" spans="1:26" ht="15.75" customHeight="1" x14ac:dyDescent="0.3"/>
    <row r="256" spans="1:2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1">
    <mergeCell ref="H5:H8"/>
    <mergeCell ref="H9:H14"/>
    <mergeCell ref="H16:H18"/>
    <mergeCell ref="H19:H20"/>
    <mergeCell ref="H22:H28"/>
    <mergeCell ref="H29:H37"/>
    <mergeCell ref="H38:H44"/>
    <mergeCell ref="H46:H48"/>
    <mergeCell ref="A2:G2"/>
    <mergeCell ref="A3:A4"/>
    <mergeCell ref="B3:B4"/>
    <mergeCell ref="C3:C8"/>
    <mergeCell ref="H3:H4"/>
    <mergeCell ref="A5:A8"/>
    <mergeCell ref="B5:B8"/>
    <mergeCell ref="D3:D4"/>
    <mergeCell ref="D5:D8"/>
    <mergeCell ref="A9:A14"/>
    <mergeCell ref="B9:B14"/>
    <mergeCell ref="C9:C14"/>
    <mergeCell ref="D9:D14"/>
    <mergeCell ref="A15:G15"/>
    <mergeCell ref="C19:C20"/>
    <mergeCell ref="C22:C28"/>
    <mergeCell ref="C16:C18"/>
    <mergeCell ref="C29:C37"/>
    <mergeCell ref="D29:D37"/>
    <mergeCell ref="A16:A20"/>
    <mergeCell ref="B16:B20"/>
    <mergeCell ref="D16:D18"/>
    <mergeCell ref="D19:D20"/>
    <mergeCell ref="C38:C44"/>
    <mergeCell ref="D38:D44"/>
    <mergeCell ref="B45:F45"/>
    <mergeCell ref="A46:A49"/>
    <mergeCell ref="B46:B49"/>
    <mergeCell ref="C46:C48"/>
    <mergeCell ref="D46:D48"/>
    <mergeCell ref="A22:A44"/>
    <mergeCell ref="B22:B44"/>
    <mergeCell ref="D22:D28"/>
  </mergeCells>
  <conditionalFormatting sqref="D1 D3:D14 D16:D44 D46:D1000">
    <cfRule type="expression" dxfId="0" priority="1">
      <formula>and</formula>
    </cfRule>
  </conditionalFormatting>
  <pageMargins left="1" right="1" top="1" bottom="1" header="0" footer="0"/>
  <pageSetup paperSize="3"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pane ySplit="1" topLeftCell="A2" activePane="bottomLeft" state="frozen"/>
      <selection pane="bottomLeft" activeCell="H6" sqref="H6"/>
    </sheetView>
  </sheetViews>
  <sheetFormatPr defaultColWidth="11.19921875" defaultRowHeight="15" customHeight="1" x14ac:dyDescent="0.3"/>
  <cols>
    <col min="1" max="1" width="8.796875" customWidth="1"/>
    <col min="2" max="2" width="21.796875" customWidth="1"/>
    <col min="3" max="3" width="11.59765625" customWidth="1"/>
    <col min="4" max="4" width="17.796875" customWidth="1"/>
    <col min="5" max="5" width="29.19921875" customWidth="1"/>
    <col min="6" max="6" width="15.59765625" customWidth="1"/>
    <col min="7" max="7" width="18" customWidth="1"/>
  </cols>
  <sheetData>
    <row r="1" spans="1:7" ht="29.4" customHeight="1" x14ac:dyDescent="0.3">
      <c r="A1" s="83" t="s">
        <v>197</v>
      </c>
      <c r="B1" s="12" t="s">
        <v>128</v>
      </c>
      <c r="C1" s="12" t="s">
        <v>129</v>
      </c>
      <c r="D1" s="12" t="s">
        <v>130</v>
      </c>
      <c r="E1" s="13" t="s">
        <v>202</v>
      </c>
    </row>
    <row r="2" spans="1:7" ht="22.5" customHeight="1" x14ac:dyDescent="0.3">
      <c r="A2" s="14">
        <v>1</v>
      </c>
      <c r="B2" s="15" t="s">
        <v>24</v>
      </c>
      <c r="C2" s="15">
        <v>0</v>
      </c>
      <c r="D2" s="15" t="s">
        <v>131</v>
      </c>
      <c r="E2" s="101">
        <f>3300*1000</f>
        <v>3300000</v>
      </c>
    </row>
    <row r="3" spans="1:7" ht="22.5" customHeight="1" x14ac:dyDescent="0.3">
      <c r="A3" s="14">
        <v>2</v>
      </c>
      <c r="B3" s="15" t="s">
        <v>11</v>
      </c>
      <c r="C3" s="15">
        <v>1</v>
      </c>
      <c r="D3" s="15" t="s">
        <v>132</v>
      </c>
      <c r="E3" s="101">
        <f>_xlfn.XLOOKUP(B3, ' Home'!$D$2:$D$49, ' Home'!$H$2:$H$49, "Không tìm thấy")*1000</f>
        <v>750000</v>
      </c>
    </row>
    <row r="4" spans="1:7" ht="22.5" customHeight="1" x14ac:dyDescent="0.3">
      <c r="A4" s="14">
        <v>3</v>
      </c>
      <c r="B4" s="15" t="s">
        <v>17</v>
      </c>
      <c r="C4" s="15">
        <v>1</v>
      </c>
      <c r="D4" s="15" t="s">
        <v>134</v>
      </c>
      <c r="E4" s="101">
        <f>_xlfn.XLOOKUP(B4, ' Home'!$D$2:$D$49, ' Home'!$H$2:$H$49, "Không tìm thấy")*1000</f>
        <v>977000</v>
      </c>
    </row>
    <row r="5" spans="1:7" ht="22.5" customHeight="1" x14ac:dyDescent="0.3">
      <c r="A5" s="14">
        <v>4</v>
      </c>
      <c r="B5" s="15" t="s">
        <v>29</v>
      </c>
      <c r="C5" s="15">
        <v>1</v>
      </c>
      <c r="D5" s="15" t="s">
        <v>132</v>
      </c>
      <c r="E5" s="101">
        <f>_xlfn.XLOOKUP(B5, ' Home'!$D$2:$D$49, ' Home'!$H$2:$H$49, "Không tìm thấy")*1000</f>
        <v>800000</v>
      </c>
    </row>
    <row r="6" spans="1:7" ht="22.5" customHeight="1" x14ac:dyDescent="0.3">
      <c r="A6" s="14">
        <v>5</v>
      </c>
      <c r="B6" s="15" t="s">
        <v>49</v>
      </c>
      <c r="C6" s="15">
        <v>2</v>
      </c>
      <c r="D6" s="15" t="s">
        <v>132</v>
      </c>
      <c r="E6" s="101">
        <f>_xlfn.XLOOKUP(B6, ' Home'!$D$2:$D$49, ' Home'!$H$2:$H$49, "Không tìm thấy")*1000</f>
        <v>530000</v>
      </c>
    </row>
    <row r="7" spans="1:7" ht="22.5" customHeight="1" x14ac:dyDescent="0.3">
      <c r="A7" s="14">
        <v>6</v>
      </c>
      <c r="B7" s="15" t="s">
        <v>58</v>
      </c>
      <c r="C7" s="15">
        <v>2</v>
      </c>
      <c r="D7" s="15" t="s">
        <v>132</v>
      </c>
      <c r="E7" s="101">
        <f>_xlfn.XLOOKUP(B7, ' Home'!$D$2:$D$49, ' Home'!$H$2:$H$49, "Không tìm thấy")*1000</f>
        <v>285000</v>
      </c>
    </row>
    <row r="8" spans="1:7" ht="22.5" customHeight="1" x14ac:dyDescent="0.3">
      <c r="A8" s="14">
        <v>7</v>
      </c>
      <c r="B8" s="15" t="s">
        <v>63</v>
      </c>
      <c r="C8" s="15">
        <v>2</v>
      </c>
      <c r="D8" s="15" t="s">
        <v>133</v>
      </c>
      <c r="E8" s="101">
        <f>_xlfn.XLOOKUP(B8, ' Home'!$D$2:$D$49, ' Home'!$H$2:$H$49, "Không tìm thấy")*1000</f>
        <v>280000</v>
      </c>
    </row>
    <row r="9" spans="1:7" ht="22.5" customHeight="1" x14ac:dyDescent="0.3">
      <c r="A9" s="14">
        <v>8</v>
      </c>
      <c r="B9" s="15" t="s">
        <v>66</v>
      </c>
      <c r="C9" s="15">
        <v>2</v>
      </c>
      <c r="D9" s="15" t="s">
        <v>133</v>
      </c>
      <c r="E9" s="101">
        <f>_xlfn.XLOOKUP(B9, ' Home'!$D$2:$D$49, ' Home'!$H$2:$H$49, "Không tìm thấy")*1000</f>
        <v>815000</v>
      </c>
    </row>
    <row r="10" spans="1:7" ht="22.5" customHeight="1" x14ac:dyDescent="0.3">
      <c r="A10" s="14">
        <v>9</v>
      </c>
      <c r="B10" s="15" t="s">
        <v>82</v>
      </c>
      <c r="C10" s="15">
        <v>2</v>
      </c>
      <c r="D10" s="15" t="s">
        <v>134</v>
      </c>
      <c r="E10" s="101">
        <f>_xlfn.XLOOKUP(B10, ' Home'!$D$2:$D$49, ' Home'!$H$2:$H$49, "Không tìm thấy")*1000</f>
        <v>3348000</v>
      </c>
    </row>
    <row r="11" spans="1:7" ht="22.5" customHeight="1" x14ac:dyDescent="0.3">
      <c r="A11" s="14">
        <v>10</v>
      </c>
      <c r="B11" s="15" t="s">
        <v>102</v>
      </c>
      <c r="C11" s="15">
        <v>2</v>
      </c>
      <c r="D11" s="15" t="s">
        <v>133</v>
      </c>
      <c r="E11" s="101">
        <f>_xlfn.XLOOKUP(B11, ' Home'!$D$2:$D$49, ' Home'!$H$2:$H$49, "Không tìm thấy")*1000</f>
        <v>1251000</v>
      </c>
    </row>
    <row r="12" spans="1:7" ht="22.5" customHeight="1" x14ac:dyDescent="0.3">
      <c r="A12" s="14">
        <v>11</v>
      </c>
      <c r="B12" s="17" t="s">
        <v>119</v>
      </c>
      <c r="C12" s="15">
        <v>3</v>
      </c>
      <c r="D12" s="15" t="s">
        <v>133</v>
      </c>
      <c r="E12" s="101">
        <f>_xlfn.XLOOKUP(B12, ' Home'!$D$2:$D$49, ' Home'!$H$2:$H$49, "Không tìm thấy")*1000</f>
        <v>492000</v>
      </c>
    </row>
    <row r="13" spans="1:7" ht="22.5" customHeight="1" x14ac:dyDescent="0.3">
      <c r="A13" s="16">
        <v>12</v>
      </c>
      <c r="B13" s="17" t="s">
        <v>126</v>
      </c>
      <c r="C13" s="17">
        <v>3</v>
      </c>
      <c r="D13" s="17" t="s">
        <v>133</v>
      </c>
      <c r="E13" s="101">
        <f>_xlfn.XLOOKUP(B13, ' Home'!$D$2:$D$49, ' Home'!$H$2:$H$49, "Không tìm thấy")*1000</f>
        <v>20000</v>
      </c>
    </row>
    <row r="14" spans="1:7" ht="15.6" x14ac:dyDescent="0.3">
      <c r="F14" s="18"/>
      <c r="G14" s="18"/>
    </row>
    <row r="15" spans="1:7" ht="15.6" x14ac:dyDescent="0.3">
      <c r="F15" s="18"/>
      <c r="G15" s="18"/>
    </row>
    <row r="16" spans="1:7" ht="15.6" x14ac:dyDescent="0.3">
      <c r="F16" s="18"/>
      <c r="G16" s="18"/>
    </row>
    <row r="17" spans="6:7" ht="15.6" x14ac:dyDescent="0.3">
      <c r="F17" s="18"/>
      <c r="G17" s="18"/>
    </row>
    <row r="18" spans="6:7" ht="15.6" x14ac:dyDescent="0.3">
      <c r="F18" s="18"/>
      <c r="G18" s="18"/>
    </row>
    <row r="19" spans="6:7" ht="15.6" x14ac:dyDescent="0.3">
      <c r="F19" s="18"/>
      <c r="G19" s="18"/>
    </row>
    <row r="20" spans="6:7" ht="15.6" x14ac:dyDescent="0.3">
      <c r="F20" s="18"/>
      <c r="G20" s="18"/>
    </row>
    <row r="21" spans="6:7" ht="15.75" customHeight="1" x14ac:dyDescent="0.3">
      <c r="F21" s="18"/>
      <c r="G21" s="18"/>
    </row>
    <row r="22" spans="6:7" ht="15.75" customHeight="1" x14ac:dyDescent="0.3">
      <c r="F22" s="18"/>
      <c r="G22" s="18"/>
    </row>
    <row r="23" spans="6:7" ht="15.75" customHeight="1" x14ac:dyDescent="0.3">
      <c r="F23" s="18"/>
      <c r="G23" s="18"/>
    </row>
    <row r="24" spans="6:7" ht="15.75" customHeight="1" x14ac:dyDescent="0.3">
      <c r="F24" s="18"/>
      <c r="G24" s="18"/>
    </row>
    <row r="25" spans="6:7" ht="15.75" customHeight="1" x14ac:dyDescent="0.3">
      <c r="F25" s="18"/>
      <c r="G25" s="18"/>
    </row>
    <row r="26" spans="6:7" ht="15.75" customHeight="1" x14ac:dyDescent="0.3">
      <c r="F26" s="18"/>
      <c r="G26" s="18"/>
    </row>
    <row r="27" spans="6:7" ht="15.75" customHeight="1" x14ac:dyDescent="0.3">
      <c r="F27" s="18"/>
      <c r="G27" s="18"/>
    </row>
    <row r="28" spans="6:7" ht="15.75" customHeight="1" x14ac:dyDescent="0.3">
      <c r="F28" s="18"/>
      <c r="G28" s="18"/>
    </row>
    <row r="29" spans="6:7" ht="15.75" customHeight="1" x14ac:dyDescent="0.3">
      <c r="F29" s="18"/>
      <c r="G29" s="18"/>
    </row>
    <row r="30" spans="6:7" ht="15.75" customHeight="1" x14ac:dyDescent="0.3">
      <c r="F30" s="18"/>
      <c r="G30" s="18"/>
    </row>
    <row r="31" spans="6:7" ht="15.75" customHeight="1" x14ac:dyDescent="0.3">
      <c r="F31" s="18"/>
      <c r="G31" s="18"/>
    </row>
    <row r="32" spans="6:7" ht="15.75" customHeight="1" x14ac:dyDescent="0.3">
      <c r="F32" s="18"/>
      <c r="G32" s="18"/>
    </row>
    <row r="33" spans="6:7" ht="15.75" customHeight="1" x14ac:dyDescent="0.3">
      <c r="F33" s="18"/>
      <c r="G33" s="18"/>
    </row>
    <row r="34" spans="6:7" ht="15.75" customHeight="1" x14ac:dyDescent="0.3">
      <c r="F34" s="18"/>
      <c r="G34" s="18"/>
    </row>
    <row r="35" spans="6:7" ht="15.75" customHeight="1" x14ac:dyDescent="0.3">
      <c r="F35" s="18"/>
      <c r="G35" s="18"/>
    </row>
    <row r="36" spans="6:7" ht="15.75" customHeight="1" x14ac:dyDescent="0.3">
      <c r="F36" s="18"/>
      <c r="G36" s="18"/>
    </row>
    <row r="37" spans="6:7" ht="15.75" customHeight="1" x14ac:dyDescent="0.3">
      <c r="F37" s="18"/>
      <c r="G37" s="18"/>
    </row>
    <row r="38" spans="6:7" ht="15.75" customHeight="1" x14ac:dyDescent="0.3">
      <c r="F38" s="18"/>
      <c r="G38" s="18"/>
    </row>
    <row r="39" spans="6:7" ht="15.75" customHeight="1" x14ac:dyDescent="0.3">
      <c r="F39" s="18"/>
      <c r="G39" s="18"/>
    </row>
    <row r="40" spans="6:7" ht="15.75" customHeight="1" x14ac:dyDescent="0.3">
      <c r="F40" s="18"/>
      <c r="G40" s="18"/>
    </row>
    <row r="41" spans="6:7" ht="15.75" customHeight="1" x14ac:dyDescent="0.3">
      <c r="F41" s="18"/>
      <c r="G41" s="18"/>
    </row>
    <row r="42" spans="6:7" ht="15.75" customHeight="1" x14ac:dyDescent="0.3">
      <c r="F42" s="18"/>
      <c r="G42" s="18"/>
    </row>
    <row r="43" spans="6:7" ht="15.75" customHeight="1" x14ac:dyDescent="0.3">
      <c r="F43" s="18"/>
      <c r="G43" s="18"/>
    </row>
    <row r="44" spans="6:7" ht="15.75" customHeight="1" x14ac:dyDescent="0.3">
      <c r="F44" s="18"/>
      <c r="G44" s="18"/>
    </row>
    <row r="45" spans="6:7" ht="15.75" customHeight="1" x14ac:dyDescent="0.3">
      <c r="F45" s="18"/>
      <c r="G45" s="18"/>
    </row>
    <row r="46" spans="6:7" ht="15.75" customHeight="1" x14ac:dyDescent="0.3">
      <c r="F46" s="18"/>
      <c r="G46" s="18"/>
    </row>
    <row r="47" spans="6:7" ht="15.75" customHeight="1" x14ac:dyDescent="0.3">
      <c r="F47" s="18"/>
      <c r="G47" s="18"/>
    </row>
    <row r="48" spans="6:7" ht="15.75" customHeight="1" x14ac:dyDescent="0.3">
      <c r="F48" s="18"/>
      <c r="G48" s="18"/>
    </row>
    <row r="49" spans="6:7" ht="15.75" customHeight="1" x14ac:dyDescent="0.3">
      <c r="F49" s="18"/>
      <c r="G49" s="18"/>
    </row>
    <row r="50" spans="6:7" ht="15.75" customHeight="1" x14ac:dyDescent="0.3">
      <c r="F50" s="18"/>
      <c r="G50" s="18"/>
    </row>
    <row r="51" spans="6:7" ht="15.75" customHeight="1" x14ac:dyDescent="0.3">
      <c r="F51" s="18"/>
      <c r="G51" s="18"/>
    </row>
    <row r="52" spans="6:7" ht="15.75" customHeight="1" x14ac:dyDescent="0.3">
      <c r="F52" s="18"/>
      <c r="G52" s="18"/>
    </row>
    <row r="53" spans="6:7" ht="15.75" customHeight="1" x14ac:dyDescent="0.3">
      <c r="F53" s="18"/>
      <c r="G53" s="18"/>
    </row>
    <row r="54" spans="6:7" ht="15.75" customHeight="1" x14ac:dyDescent="0.3">
      <c r="F54" s="18"/>
      <c r="G54" s="18"/>
    </row>
    <row r="55" spans="6:7" ht="15.75" customHeight="1" x14ac:dyDescent="0.3">
      <c r="F55" s="18"/>
      <c r="G55" s="18"/>
    </row>
    <row r="56" spans="6:7" ht="15.75" customHeight="1" x14ac:dyDescent="0.3">
      <c r="F56" s="18"/>
      <c r="G56" s="18"/>
    </row>
    <row r="57" spans="6:7" ht="15.75" customHeight="1" x14ac:dyDescent="0.3">
      <c r="F57" s="18"/>
      <c r="G57" s="18"/>
    </row>
    <row r="58" spans="6:7" ht="15.75" customHeight="1" x14ac:dyDescent="0.3">
      <c r="F58" s="18"/>
      <c r="G58" s="18"/>
    </row>
    <row r="59" spans="6:7" ht="15.75" customHeight="1" x14ac:dyDescent="0.3">
      <c r="F59" s="18"/>
      <c r="G59" s="18"/>
    </row>
    <row r="60" spans="6:7" ht="15.75" customHeight="1" x14ac:dyDescent="0.3">
      <c r="F60" s="18"/>
      <c r="G60" s="18"/>
    </row>
    <row r="61" spans="6:7" ht="15.75" customHeight="1" x14ac:dyDescent="0.3">
      <c r="F61" s="18"/>
      <c r="G61" s="18"/>
    </row>
    <row r="62" spans="6:7" ht="15.75" customHeight="1" x14ac:dyDescent="0.3">
      <c r="F62" s="18"/>
      <c r="G62" s="18"/>
    </row>
    <row r="63" spans="6:7" ht="15.75" customHeight="1" x14ac:dyDescent="0.3">
      <c r="F63" s="18"/>
      <c r="G63" s="18"/>
    </row>
    <row r="64" spans="6:7" ht="15.75" customHeight="1" x14ac:dyDescent="0.3">
      <c r="F64" s="18"/>
      <c r="G64" s="18"/>
    </row>
    <row r="65" spans="6:7" ht="15.75" customHeight="1" x14ac:dyDescent="0.3">
      <c r="F65" s="18"/>
      <c r="G65" s="18"/>
    </row>
    <row r="66" spans="6:7" ht="15.75" customHeight="1" x14ac:dyDescent="0.3">
      <c r="F66" s="18"/>
      <c r="G66" s="18"/>
    </row>
    <row r="67" spans="6:7" ht="15.75" customHeight="1" x14ac:dyDescent="0.3">
      <c r="F67" s="18"/>
      <c r="G67" s="18"/>
    </row>
    <row r="68" spans="6:7" ht="15.75" customHeight="1" x14ac:dyDescent="0.3">
      <c r="F68" s="18"/>
      <c r="G68" s="18"/>
    </row>
    <row r="69" spans="6:7" ht="15.75" customHeight="1" x14ac:dyDescent="0.3">
      <c r="F69" s="18"/>
      <c r="G69" s="18"/>
    </row>
    <row r="70" spans="6:7" ht="15.75" customHeight="1" x14ac:dyDescent="0.3">
      <c r="F70" s="18"/>
      <c r="G70" s="18"/>
    </row>
    <row r="71" spans="6:7" ht="15.75" customHeight="1" x14ac:dyDescent="0.3">
      <c r="F71" s="18"/>
      <c r="G71" s="18"/>
    </row>
    <row r="72" spans="6:7" ht="15.75" customHeight="1" x14ac:dyDescent="0.3">
      <c r="F72" s="18"/>
      <c r="G72" s="18"/>
    </row>
    <row r="73" spans="6:7" ht="15.75" customHeight="1" x14ac:dyDescent="0.3">
      <c r="F73" s="18"/>
      <c r="G73" s="18"/>
    </row>
    <row r="74" spans="6:7" ht="15.75" customHeight="1" x14ac:dyDescent="0.3">
      <c r="F74" s="18"/>
      <c r="G74" s="18"/>
    </row>
    <row r="75" spans="6:7" ht="15.75" customHeight="1" x14ac:dyDescent="0.3">
      <c r="F75" s="18"/>
      <c r="G75" s="18"/>
    </row>
    <row r="76" spans="6:7" ht="15.75" customHeight="1" x14ac:dyDescent="0.3">
      <c r="F76" s="18"/>
      <c r="G76" s="18"/>
    </row>
    <row r="77" spans="6:7" ht="15.75" customHeight="1" x14ac:dyDescent="0.3">
      <c r="F77" s="18"/>
      <c r="G77" s="18"/>
    </row>
    <row r="78" spans="6:7" ht="15.75" customHeight="1" x14ac:dyDescent="0.3">
      <c r="F78" s="18"/>
      <c r="G78" s="18"/>
    </row>
    <row r="79" spans="6:7" ht="15.75" customHeight="1" x14ac:dyDescent="0.3">
      <c r="F79" s="18"/>
      <c r="G79" s="18"/>
    </row>
    <row r="80" spans="6:7" ht="15.75" customHeight="1" x14ac:dyDescent="0.3">
      <c r="F80" s="18"/>
      <c r="G80" s="18"/>
    </row>
    <row r="81" spans="6:7" ht="15.75" customHeight="1" x14ac:dyDescent="0.3">
      <c r="F81" s="18"/>
      <c r="G81" s="18"/>
    </row>
    <row r="82" spans="6:7" ht="15.75" customHeight="1" x14ac:dyDescent="0.3">
      <c r="F82" s="18"/>
      <c r="G82" s="18"/>
    </row>
    <row r="83" spans="6:7" ht="15.75" customHeight="1" x14ac:dyDescent="0.3">
      <c r="F83" s="18"/>
      <c r="G83" s="18"/>
    </row>
    <row r="84" spans="6:7" ht="15.75" customHeight="1" x14ac:dyDescent="0.3">
      <c r="F84" s="18"/>
      <c r="G84" s="18"/>
    </row>
    <row r="85" spans="6:7" ht="15.75" customHeight="1" x14ac:dyDescent="0.3">
      <c r="F85" s="18"/>
      <c r="G85" s="18"/>
    </row>
    <row r="86" spans="6:7" ht="15.75" customHeight="1" x14ac:dyDescent="0.3">
      <c r="F86" s="18"/>
      <c r="G86" s="18"/>
    </row>
    <row r="87" spans="6:7" ht="15.75" customHeight="1" x14ac:dyDescent="0.3">
      <c r="F87" s="18"/>
      <c r="G87" s="18"/>
    </row>
    <row r="88" spans="6:7" ht="15.75" customHeight="1" x14ac:dyDescent="0.3">
      <c r="F88" s="18"/>
      <c r="G88" s="18"/>
    </row>
    <row r="89" spans="6:7" ht="15.75" customHeight="1" x14ac:dyDescent="0.3">
      <c r="F89" s="18"/>
      <c r="G89" s="18"/>
    </row>
    <row r="90" spans="6:7" ht="15.75" customHeight="1" x14ac:dyDescent="0.3">
      <c r="F90" s="18"/>
      <c r="G90" s="18"/>
    </row>
    <row r="91" spans="6:7" ht="15.75" customHeight="1" x14ac:dyDescent="0.3">
      <c r="F91" s="18"/>
      <c r="G91" s="18"/>
    </row>
    <row r="92" spans="6:7" ht="15.75" customHeight="1" x14ac:dyDescent="0.3">
      <c r="F92" s="18"/>
      <c r="G92" s="18"/>
    </row>
    <row r="93" spans="6:7" ht="15.75" customHeight="1" x14ac:dyDescent="0.3">
      <c r="F93" s="18"/>
      <c r="G93" s="18"/>
    </row>
    <row r="94" spans="6:7" ht="15.75" customHeight="1" x14ac:dyDescent="0.3">
      <c r="F94" s="18"/>
      <c r="G94" s="18"/>
    </row>
    <row r="95" spans="6:7" ht="15.75" customHeight="1" x14ac:dyDescent="0.3">
      <c r="F95" s="18"/>
      <c r="G95" s="18"/>
    </row>
    <row r="96" spans="6:7" ht="15.75" customHeight="1" x14ac:dyDescent="0.3">
      <c r="F96" s="18"/>
      <c r="G96" s="18"/>
    </row>
    <row r="97" spans="6:7" ht="15.75" customHeight="1" x14ac:dyDescent="0.3">
      <c r="F97" s="18"/>
      <c r="G97" s="18"/>
    </row>
    <row r="98" spans="6:7" ht="15.75" customHeight="1" x14ac:dyDescent="0.3">
      <c r="F98" s="18"/>
      <c r="G98" s="18"/>
    </row>
    <row r="99" spans="6:7" ht="15.75" customHeight="1" x14ac:dyDescent="0.3">
      <c r="F99" s="18"/>
      <c r="G99" s="18"/>
    </row>
    <row r="100" spans="6:7" ht="15.75" customHeight="1" x14ac:dyDescent="0.3">
      <c r="F100" s="18"/>
      <c r="G100" s="18"/>
    </row>
    <row r="101" spans="6:7" ht="15.75" customHeight="1" x14ac:dyDescent="0.3">
      <c r="F101" s="18"/>
      <c r="G101" s="18"/>
    </row>
    <row r="102" spans="6:7" ht="15.75" customHeight="1" x14ac:dyDescent="0.3">
      <c r="F102" s="18"/>
      <c r="G102" s="18"/>
    </row>
    <row r="103" spans="6:7" ht="15.75" customHeight="1" x14ac:dyDescent="0.3">
      <c r="F103" s="18"/>
      <c r="G103" s="18"/>
    </row>
    <row r="104" spans="6:7" ht="15.75" customHeight="1" x14ac:dyDescent="0.3">
      <c r="F104" s="18"/>
      <c r="G104" s="18"/>
    </row>
    <row r="105" spans="6:7" ht="15.75" customHeight="1" x14ac:dyDescent="0.3">
      <c r="F105" s="18"/>
      <c r="G105" s="18"/>
    </row>
    <row r="106" spans="6:7" ht="15.75" customHeight="1" x14ac:dyDescent="0.3">
      <c r="F106" s="18"/>
      <c r="G106" s="18"/>
    </row>
    <row r="107" spans="6:7" ht="15.75" customHeight="1" x14ac:dyDescent="0.3">
      <c r="F107" s="18"/>
      <c r="G107" s="18"/>
    </row>
    <row r="108" spans="6:7" ht="15.75" customHeight="1" x14ac:dyDescent="0.3">
      <c r="F108" s="18"/>
      <c r="G108" s="18"/>
    </row>
    <row r="109" spans="6:7" ht="15.75" customHeight="1" x14ac:dyDescent="0.3">
      <c r="F109" s="18"/>
      <c r="G109" s="18"/>
    </row>
    <row r="110" spans="6:7" ht="15.75" customHeight="1" x14ac:dyDescent="0.3">
      <c r="F110" s="18"/>
      <c r="G110" s="18"/>
    </row>
    <row r="111" spans="6:7" ht="15.75" customHeight="1" x14ac:dyDescent="0.3">
      <c r="F111" s="18"/>
      <c r="G111" s="18"/>
    </row>
    <row r="112" spans="6:7" ht="15.75" customHeight="1" x14ac:dyDescent="0.3">
      <c r="F112" s="18"/>
      <c r="G112" s="18"/>
    </row>
    <row r="113" spans="6:7" ht="15.75" customHeight="1" x14ac:dyDescent="0.3">
      <c r="F113" s="18"/>
      <c r="G113" s="18"/>
    </row>
    <row r="114" spans="6:7" ht="15.75" customHeight="1" x14ac:dyDescent="0.3">
      <c r="F114" s="18"/>
      <c r="G114" s="18"/>
    </row>
    <row r="115" spans="6:7" ht="15.75" customHeight="1" x14ac:dyDescent="0.3">
      <c r="F115" s="18"/>
      <c r="G115" s="18"/>
    </row>
    <row r="116" spans="6:7" ht="15.75" customHeight="1" x14ac:dyDescent="0.3">
      <c r="F116" s="18"/>
      <c r="G116" s="18"/>
    </row>
    <row r="117" spans="6:7" ht="15.75" customHeight="1" x14ac:dyDescent="0.3">
      <c r="F117" s="18"/>
      <c r="G117" s="18"/>
    </row>
    <row r="118" spans="6:7" ht="15.75" customHeight="1" x14ac:dyDescent="0.3">
      <c r="F118" s="18"/>
      <c r="G118" s="18"/>
    </row>
    <row r="119" spans="6:7" ht="15.75" customHeight="1" x14ac:dyDescent="0.3">
      <c r="F119" s="18"/>
      <c r="G119" s="18"/>
    </row>
    <row r="120" spans="6:7" ht="15.75" customHeight="1" x14ac:dyDescent="0.3">
      <c r="F120" s="18"/>
      <c r="G120" s="18"/>
    </row>
    <row r="121" spans="6:7" ht="15.75" customHeight="1" x14ac:dyDescent="0.3">
      <c r="F121" s="18"/>
      <c r="G121" s="18"/>
    </row>
    <row r="122" spans="6:7" ht="15.75" customHeight="1" x14ac:dyDescent="0.3">
      <c r="F122" s="18"/>
      <c r="G122" s="18"/>
    </row>
    <row r="123" spans="6:7" ht="15.75" customHeight="1" x14ac:dyDescent="0.3">
      <c r="F123" s="18"/>
      <c r="G123" s="18"/>
    </row>
    <row r="124" spans="6:7" ht="15.75" customHeight="1" x14ac:dyDescent="0.3">
      <c r="F124" s="18"/>
      <c r="G124" s="18"/>
    </row>
    <row r="125" spans="6:7" ht="15.75" customHeight="1" x14ac:dyDescent="0.3">
      <c r="F125" s="18"/>
      <c r="G125" s="18"/>
    </row>
    <row r="126" spans="6:7" ht="15.75" customHeight="1" x14ac:dyDescent="0.3">
      <c r="F126" s="18"/>
      <c r="G126" s="18"/>
    </row>
    <row r="127" spans="6:7" ht="15.75" customHeight="1" x14ac:dyDescent="0.3">
      <c r="F127" s="18"/>
      <c r="G127" s="18"/>
    </row>
    <row r="128" spans="6:7" ht="15.75" customHeight="1" x14ac:dyDescent="0.3">
      <c r="F128" s="18"/>
      <c r="G128" s="18"/>
    </row>
    <row r="129" spans="6:7" ht="15.75" customHeight="1" x14ac:dyDescent="0.3">
      <c r="F129" s="18"/>
      <c r="G129" s="18"/>
    </row>
    <row r="130" spans="6:7" ht="15.75" customHeight="1" x14ac:dyDescent="0.3">
      <c r="F130" s="18"/>
      <c r="G130" s="18"/>
    </row>
    <row r="131" spans="6:7" ht="15.75" customHeight="1" x14ac:dyDescent="0.3">
      <c r="F131" s="18"/>
      <c r="G131" s="18"/>
    </row>
    <row r="132" spans="6:7" ht="15.75" customHeight="1" x14ac:dyDescent="0.3">
      <c r="F132" s="18"/>
      <c r="G132" s="18"/>
    </row>
    <row r="133" spans="6:7" ht="15.75" customHeight="1" x14ac:dyDescent="0.3">
      <c r="F133" s="18"/>
      <c r="G133" s="18"/>
    </row>
    <row r="134" spans="6:7" ht="15.75" customHeight="1" x14ac:dyDescent="0.3">
      <c r="F134" s="18"/>
      <c r="G134" s="18"/>
    </row>
    <row r="135" spans="6:7" ht="15.75" customHeight="1" x14ac:dyDescent="0.3">
      <c r="F135" s="18"/>
      <c r="G135" s="18"/>
    </row>
    <row r="136" spans="6:7" ht="15.75" customHeight="1" x14ac:dyDescent="0.3">
      <c r="F136" s="18"/>
      <c r="G136" s="18"/>
    </row>
    <row r="137" spans="6:7" ht="15.75" customHeight="1" x14ac:dyDescent="0.3">
      <c r="F137" s="18"/>
      <c r="G137" s="18"/>
    </row>
    <row r="138" spans="6:7" ht="15.75" customHeight="1" x14ac:dyDescent="0.3">
      <c r="F138" s="18"/>
      <c r="G138" s="18"/>
    </row>
    <row r="139" spans="6:7" ht="15.75" customHeight="1" x14ac:dyDescent="0.3">
      <c r="F139" s="18"/>
      <c r="G139" s="18"/>
    </row>
    <row r="140" spans="6:7" ht="15.75" customHeight="1" x14ac:dyDescent="0.3">
      <c r="F140" s="18"/>
      <c r="G140" s="18"/>
    </row>
    <row r="141" spans="6:7" ht="15.75" customHeight="1" x14ac:dyDescent="0.3">
      <c r="F141" s="18"/>
      <c r="G141" s="18"/>
    </row>
    <row r="142" spans="6:7" ht="15.75" customHeight="1" x14ac:dyDescent="0.3">
      <c r="F142" s="18"/>
      <c r="G142" s="18"/>
    </row>
    <row r="143" spans="6:7" ht="15.75" customHeight="1" x14ac:dyDescent="0.3">
      <c r="F143" s="18"/>
      <c r="G143" s="18"/>
    </row>
    <row r="144" spans="6:7" ht="15.75" customHeight="1" x14ac:dyDescent="0.3">
      <c r="F144" s="18"/>
      <c r="G144" s="18"/>
    </row>
    <row r="145" spans="6:7" ht="15.75" customHeight="1" x14ac:dyDescent="0.3">
      <c r="F145" s="18"/>
      <c r="G145" s="18"/>
    </row>
    <row r="146" spans="6:7" ht="15.75" customHeight="1" x14ac:dyDescent="0.3">
      <c r="F146" s="18"/>
      <c r="G146" s="18"/>
    </row>
    <row r="147" spans="6:7" ht="15.75" customHeight="1" x14ac:dyDescent="0.3">
      <c r="F147" s="18"/>
      <c r="G147" s="18"/>
    </row>
    <row r="148" spans="6:7" ht="15.75" customHeight="1" x14ac:dyDescent="0.3">
      <c r="F148" s="18"/>
      <c r="G148" s="18"/>
    </row>
    <row r="149" spans="6:7" ht="15.75" customHeight="1" x14ac:dyDescent="0.3">
      <c r="F149" s="18"/>
      <c r="G149" s="18"/>
    </row>
    <row r="150" spans="6:7" ht="15.75" customHeight="1" x14ac:dyDescent="0.3">
      <c r="F150" s="18"/>
      <c r="G150" s="18"/>
    </row>
    <row r="151" spans="6:7" ht="15.75" customHeight="1" x14ac:dyDescent="0.3">
      <c r="F151" s="18"/>
      <c r="G151" s="18"/>
    </row>
    <row r="152" spans="6:7" ht="15.75" customHeight="1" x14ac:dyDescent="0.3">
      <c r="F152" s="18"/>
      <c r="G152" s="18"/>
    </row>
    <row r="153" spans="6:7" ht="15.75" customHeight="1" x14ac:dyDescent="0.3">
      <c r="F153" s="18"/>
      <c r="G153" s="18"/>
    </row>
    <row r="154" spans="6:7" ht="15.75" customHeight="1" x14ac:dyDescent="0.3">
      <c r="F154" s="18"/>
      <c r="G154" s="18"/>
    </row>
    <row r="155" spans="6:7" ht="15.75" customHeight="1" x14ac:dyDescent="0.3">
      <c r="F155" s="18"/>
      <c r="G155" s="18"/>
    </row>
    <row r="156" spans="6:7" ht="15.75" customHeight="1" x14ac:dyDescent="0.3">
      <c r="F156" s="18"/>
      <c r="G156" s="18"/>
    </row>
    <row r="157" spans="6:7" ht="15.75" customHeight="1" x14ac:dyDescent="0.3">
      <c r="F157" s="18"/>
      <c r="G157" s="18"/>
    </row>
    <row r="158" spans="6:7" ht="15.75" customHeight="1" x14ac:dyDescent="0.3">
      <c r="F158" s="18"/>
      <c r="G158" s="18"/>
    </row>
    <row r="159" spans="6:7" ht="15.75" customHeight="1" x14ac:dyDescent="0.3">
      <c r="F159" s="18"/>
      <c r="G159" s="18"/>
    </row>
    <row r="160" spans="6:7" ht="15.75" customHeight="1" x14ac:dyDescent="0.3">
      <c r="F160" s="18"/>
      <c r="G160" s="18"/>
    </row>
    <row r="161" spans="6:7" ht="15.75" customHeight="1" x14ac:dyDescent="0.3">
      <c r="F161" s="18"/>
      <c r="G161" s="18"/>
    </row>
    <row r="162" spans="6:7" ht="15.75" customHeight="1" x14ac:dyDescent="0.3">
      <c r="F162" s="18"/>
      <c r="G162" s="18"/>
    </row>
    <row r="163" spans="6:7" ht="15.75" customHeight="1" x14ac:dyDescent="0.3">
      <c r="F163" s="18"/>
      <c r="G163" s="18"/>
    </row>
    <row r="164" spans="6:7" ht="15.75" customHeight="1" x14ac:dyDescent="0.3">
      <c r="F164" s="18"/>
      <c r="G164" s="18"/>
    </row>
    <row r="165" spans="6:7" ht="15.75" customHeight="1" x14ac:dyDescent="0.3">
      <c r="F165" s="18"/>
      <c r="G165" s="18"/>
    </row>
    <row r="166" spans="6:7" ht="15.75" customHeight="1" x14ac:dyDescent="0.3">
      <c r="F166" s="18"/>
      <c r="G166" s="18"/>
    </row>
    <row r="167" spans="6:7" ht="15.75" customHeight="1" x14ac:dyDescent="0.3">
      <c r="F167" s="18"/>
      <c r="G167" s="18"/>
    </row>
    <row r="168" spans="6:7" ht="15.75" customHeight="1" x14ac:dyDescent="0.3">
      <c r="F168" s="18"/>
      <c r="G168" s="18"/>
    </row>
    <row r="169" spans="6:7" ht="15.75" customHeight="1" x14ac:dyDescent="0.3">
      <c r="F169" s="18"/>
      <c r="G169" s="18"/>
    </row>
    <row r="170" spans="6:7" ht="15.75" customHeight="1" x14ac:dyDescent="0.3">
      <c r="F170" s="18"/>
      <c r="G170" s="18"/>
    </row>
    <row r="171" spans="6:7" ht="15.75" customHeight="1" x14ac:dyDescent="0.3">
      <c r="F171" s="18"/>
      <c r="G171" s="18"/>
    </row>
    <row r="172" spans="6:7" ht="15.75" customHeight="1" x14ac:dyDescent="0.3">
      <c r="F172" s="18"/>
      <c r="G172" s="18"/>
    </row>
    <row r="173" spans="6:7" ht="15.75" customHeight="1" x14ac:dyDescent="0.3">
      <c r="F173" s="18"/>
      <c r="G173" s="18"/>
    </row>
    <row r="174" spans="6:7" ht="15.75" customHeight="1" x14ac:dyDescent="0.3">
      <c r="F174" s="18"/>
      <c r="G174" s="18"/>
    </row>
    <row r="175" spans="6:7" ht="15.75" customHeight="1" x14ac:dyDescent="0.3">
      <c r="F175" s="18"/>
      <c r="G175" s="18"/>
    </row>
    <row r="176" spans="6:7" ht="15.75" customHeight="1" x14ac:dyDescent="0.3">
      <c r="F176" s="18"/>
      <c r="G176" s="18"/>
    </row>
    <row r="177" spans="6:7" ht="15.75" customHeight="1" x14ac:dyDescent="0.3">
      <c r="F177" s="18"/>
      <c r="G177" s="18"/>
    </row>
    <row r="178" spans="6:7" ht="15.75" customHeight="1" x14ac:dyDescent="0.3">
      <c r="F178" s="18"/>
      <c r="G178" s="18"/>
    </row>
    <row r="179" spans="6:7" ht="15.75" customHeight="1" x14ac:dyDescent="0.3">
      <c r="F179" s="18"/>
      <c r="G179" s="18"/>
    </row>
    <row r="180" spans="6:7" ht="15.75" customHeight="1" x14ac:dyDescent="0.3">
      <c r="F180" s="18"/>
      <c r="G180" s="18"/>
    </row>
    <row r="181" spans="6:7" ht="15.75" customHeight="1" x14ac:dyDescent="0.3">
      <c r="F181" s="18"/>
      <c r="G181" s="18"/>
    </row>
    <row r="182" spans="6:7" ht="15.75" customHeight="1" x14ac:dyDescent="0.3">
      <c r="F182" s="18"/>
      <c r="G182" s="18"/>
    </row>
    <row r="183" spans="6:7" ht="15.75" customHeight="1" x14ac:dyDescent="0.3">
      <c r="F183" s="18"/>
      <c r="G183" s="18"/>
    </row>
    <row r="184" spans="6:7" ht="15.75" customHeight="1" x14ac:dyDescent="0.3">
      <c r="F184" s="18"/>
      <c r="G184" s="18"/>
    </row>
    <row r="185" spans="6:7" ht="15.75" customHeight="1" x14ac:dyDescent="0.3">
      <c r="F185" s="18"/>
      <c r="G185" s="18"/>
    </row>
    <row r="186" spans="6:7" ht="15.75" customHeight="1" x14ac:dyDescent="0.3">
      <c r="F186" s="18"/>
      <c r="G186" s="18"/>
    </row>
    <row r="187" spans="6:7" ht="15.75" customHeight="1" x14ac:dyDescent="0.3">
      <c r="F187" s="18"/>
      <c r="G187" s="18"/>
    </row>
    <row r="188" spans="6:7" ht="15.75" customHeight="1" x14ac:dyDescent="0.3">
      <c r="F188" s="18"/>
      <c r="G188" s="18"/>
    </row>
    <row r="189" spans="6:7" ht="15.75" customHeight="1" x14ac:dyDescent="0.3">
      <c r="F189" s="18"/>
      <c r="G189" s="18"/>
    </row>
    <row r="190" spans="6:7" ht="15.75" customHeight="1" x14ac:dyDescent="0.3">
      <c r="F190" s="18"/>
      <c r="G190" s="18"/>
    </row>
    <row r="191" spans="6:7" ht="15.75" customHeight="1" x14ac:dyDescent="0.3">
      <c r="F191" s="18"/>
      <c r="G191" s="18"/>
    </row>
    <row r="192" spans="6:7" ht="15.75" customHeight="1" x14ac:dyDescent="0.3">
      <c r="F192" s="18"/>
      <c r="G192" s="18"/>
    </row>
    <row r="193" spans="6:7" ht="15.75" customHeight="1" x14ac:dyDescent="0.3">
      <c r="F193" s="18"/>
      <c r="G193" s="18"/>
    </row>
    <row r="194" spans="6:7" ht="15.75" customHeight="1" x14ac:dyDescent="0.3">
      <c r="F194" s="18"/>
      <c r="G194" s="18"/>
    </row>
    <row r="195" spans="6:7" ht="15.75" customHeight="1" x14ac:dyDescent="0.3">
      <c r="F195" s="18"/>
      <c r="G195" s="18"/>
    </row>
    <row r="196" spans="6:7" ht="15.75" customHeight="1" x14ac:dyDescent="0.3">
      <c r="F196" s="18"/>
      <c r="G196" s="18"/>
    </row>
    <row r="197" spans="6:7" ht="15.75" customHeight="1" x14ac:dyDescent="0.3">
      <c r="F197" s="18"/>
      <c r="G197" s="18"/>
    </row>
    <row r="198" spans="6:7" ht="15.75" customHeight="1" x14ac:dyDescent="0.3">
      <c r="F198" s="18"/>
      <c r="G198" s="18"/>
    </row>
    <row r="199" spans="6:7" ht="15.75" customHeight="1" x14ac:dyDescent="0.3">
      <c r="F199" s="18"/>
      <c r="G199" s="18"/>
    </row>
    <row r="200" spans="6:7" ht="15.75" customHeight="1" x14ac:dyDescent="0.3">
      <c r="F200" s="18"/>
      <c r="G200" s="18"/>
    </row>
    <row r="201" spans="6:7" ht="15.75" customHeight="1" x14ac:dyDescent="0.3">
      <c r="F201" s="18"/>
      <c r="G201" s="18"/>
    </row>
    <row r="202" spans="6:7" ht="15.75" customHeight="1" x14ac:dyDescent="0.3">
      <c r="F202" s="18"/>
      <c r="G202" s="18"/>
    </row>
    <row r="203" spans="6:7" ht="15.75" customHeight="1" x14ac:dyDescent="0.3">
      <c r="F203" s="18"/>
      <c r="G203" s="18"/>
    </row>
    <row r="204" spans="6:7" ht="15.75" customHeight="1" x14ac:dyDescent="0.3">
      <c r="F204" s="18"/>
      <c r="G204" s="18"/>
    </row>
    <row r="205" spans="6:7" ht="15.75" customHeight="1" x14ac:dyDescent="0.3">
      <c r="F205" s="18"/>
      <c r="G205" s="18"/>
    </row>
    <row r="206" spans="6:7" ht="15.75" customHeight="1" x14ac:dyDescent="0.3">
      <c r="F206" s="18"/>
      <c r="G206" s="18"/>
    </row>
    <row r="207" spans="6:7" ht="15.75" customHeight="1" x14ac:dyDescent="0.3">
      <c r="F207" s="18"/>
      <c r="G207" s="18"/>
    </row>
    <row r="208" spans="6:7" ht="15.75" customHeight="1" x14ac:dyDescent="0.3">
      <c r="F208" s="18"/>
      <c r="G208" s="18"/>
    </row>
    <row r="209" spans="6:7" ht="15.75" customHeight="1" x14ac:dyDescent="0.3">
      <c r="F209" s="18"/>
      <c r="G209" s="18"/>
    </row>
    <row r="210" spans="6:7" ht="15.75" customHeight="1" x14ac:dyDescent="0.3">
      <c r="F210" s="18"/>
      <c r="G210" s="18"/>
    </row>
    <row r="211" spans="6:7" ht="15.75" customHeight="1" x14ac:dyDescent="0.3">
      <c r="F211" s="18"/>
      <c r="G211" s="18"/>
    </row>
    <row r="212" spans="6:7" ht="15.75" customHeight="1" x14ac:dyDescent="0.3">
      <c r="F212" s="18"/>
      <c r="G212" s="18"/>
    </row>
    <row r="213" spans="6:7" ht="15.75" customHeight="1" x14ac:dyDescent="0.3">
      <c r="F213" s="18"/>
      <c r="G213" s="18"/>
    </row>
    <row r="214" spans="6:7" ht="15.75" customHeight="1" x14ac:dyDescent="0.3">
      <c r="F214" s="18"/>
      <c r="G214" s="18"/>
    </row>
    <row r="215" spans="6:7" ht="15.75" customHeight="1" x14ac:dyDescent="0.3">
      <c r="F215" s="18"/>
      <c r="G215" s="18"/>
    </row>
    <row r="216" spans="6:7" ht="15.75" customHeight="1" x14ac:dyDescent="0.3">
      <c r="F216" s="18"/>
      <c r="G216" s="18"/>
    </row>
    <row r="217" spans="6:7" ht="15.75" customHeight="1" x14ac:dyDescent="0.3">
      <c r="F217" s="18"/>
      <c r="G217" s="18"/>
    </row>
    <row r="218" spans="6:7" ht="15.75" customHeight="1" x14ac:dyDescent="0.3">
      <c r="F218" s="18"/>
      <c r="G218" s="18"/>
    </row>
    <row r="219" spans="6:7" ht="15.75" customHeight="1" x14ac:dyDescent="0.3">
      <c r="F219" s="18"/>
      <c r="G219" s="18"/>
    </row>
    <row r="220" spans="6:7" ht="15.75" customHeight="1" x14ac:dyDescent="0.3">
      <c r="F220" s="18"/>
      <c r="G220" s="18"/>
    </row>
    <row r="221" spans="6:7" ht="15.75" customHeight="1" x14ac:dyDescent="0.3">
      <c r="F221" s="18"/>
      <c r="G221" s="18"/>
    </row>
    <row r="222" spans="6:7" ht="15.75" customHeight="1" x14ac:dyDescent="0.3">
      <c r="F222" s="18"/>
      <c r="G222" s="18"/>
    </row>
    <row r="223" spans="6:7" ht="15.75" customHeight="1" x14ac:dyDescent="0.3">
      <c r="F223" s="18"/>
      <c r="G223" s="18"/>
    </row>
    <row r="224" spans="6:7" ht="15.75" customHeight="1" x14ac:dyDescent="0.3">
      <c r="F224" s="18"/>
      <c r="G224" s="18"/>
    </row>
    <row r="225" spans="6:7" ht="15.75" customHeight="1" x14ac:dyDescent="0.3">
      <c r="F225" s="18"/>
      <c r="G225" s="18"/>
    </row>
    <row r="226" spans="6:7" ht="15.75" customHeight="1" x14ac:dyDescent="0.3">
      <c r="F226" s="18"/>
      <c r="G226" s="18"/>
    </row>
    <row r="227" spans="6:7" ht="15.75" customHeight="1" x14ac:dyDescent="0.3">
      <c r="F227" s="18"/>
      <c r="G227" s="18"/>
    </row>
    <row r="228" spans="6:7" ht="15.75" customHeight="1" x14ac:dyDescent="0.3">
      <c r="F228" s="18"/>
      <c r="G228" s="18"/>
    </row>
    <row r="229" spans="6:7" ht="15.75" customHeight="1" x14ac:dyDescent="0.3">
      <c r="F229" s="18"/>
      <c r="G229" s="18"/>
    </row>
    <row r="230" spans="6:7" ht="15.75" customHeight="1" x14ac:dyDescent="0.3">
      <c r="F230" s="18"/>
      <c r="G230" s="18"/>
    </row>
    <row r="231" spans="6:7" ht="15.75" customHeight="1" x14ac:dyDescent="0.3">
      <c r="F231" s="18"/>
      <c r="G231" s="18"/>
    </row>
    <row r="232" spans="6:7" ht="15.75" customHeight="1" x14ac:dyDescent="0.3">
      <c r="F232" s="18"/>
      <c r="G232" s="18"/>
    </row>
    <row r="233" spans="6:7" ht="15.75" customHeight="1" x14ac:dyDescent="0.3">
      <c r="F233" s="18"/>
      <c r="G233" s="18"/>
    </row>
    <row r="234" spans="6:7" ht="15.75" customHeight="1" x14ac:dyDescent="0.3">
      <c r="F234" s="18"/>
      <c r="G234" s="18"/>
    </row>
    <row r="235" spans="6:7" ht="15.75" customHeight="1" x14ac:dyDescent="0.3">
      <c r="F235" s="18"/>
      <c r="G235" s="18"/>
    </row>
    <row r="236" spans="6:7" ht="15.75" customHeight="1" x14ac:dyDescent="0.3">
      <c r="F236" s="18"/>
      <c r="G236" s="18"/>
    </row>
    <row r="237" spans="6:7" ht="15.75" customHeight="1" x14ac:dyDescent="0.3">
      <c r="F237" s="18"/>
      <c r="G237" s="18"/>
    </row>
    <row r="238" spans="6:7" ht="15.75" customHeight="1" x14ac:dyDescent="0.3">
      <c r="F238" s="18"/>
      <c r="G238" s="18"/>
    </row>
    <row r="239" spans="6:7" ht="15.75" customHeight="1" x14ac:dyDescent="0.3">
      <c r="F239" s="18"/>
      <c r="G239" s="18"/>
    </row>
    <row r="240" spans="6:7" ht="15.75" customHeight="1" x14ac:dyDescent="0.3">
      <c r="F240" s="18"/>
      <c r="G240" s="18"/>
    </row>
    <row r="241" spans="6:7" ht="15.75" customHeight="1" x14ac:dyDescent="0.3">
      <c r="F241" s="18"/>
      <c r="G241" s="18"/>
    </row>
    <row r="242" spans="6:7" ht="15.75" customHeight="1" x14ac:dyDescent="0.3">
      <c r="F242" s="18"/>
      <c r="G242" s="18"/>
    </row>
    <row r="243" spans="6:7" ht="15.75" customHeight="1" x14ac:dyDescent="0.3">
      <c r="F243" s="18"/>
      <c r="G243" s="18"/>
    </row>
    <row r="244" spans="6:7" ht="15.75" customHeight="1" x14ac:dyDescent="0.3">
      <c r="F244" s="18"/>
      <c r="G244" s="18"/>
    </row>
    <row r="245" spans="6:7" ht="15.75" customHeight="1" x14ac:dyDescent="0.3">
      <c r="F245" s="18"/>
      <c r="G245" s="18"/>
    </row>
    <row r="246" spans="6:7" ht="15.75" customHeight="1" x14ac:dyDescent="0.3">
      <c r="F246" s="18"/>
      <c r="G246" s="18"/>
    </row>
    <row r="247" spans="6:7" ht="15.75" customHeight="1" x14ac:dyDescent="0.3">
      <c r="F247" s="18"/>
      <c r="G247" s="18"/>
    </row>
    <row r="248" spans="6:7" ht="15.75" customHeight="1" x14ac:dyDescent="0.3">
      <c r="F248" s="18"/>
      <c r="G248" s="18"/>
    </row>
    <row r="249" spans="6:7" ht="15.75" customHeight="1" x14ac:dyDescent="0.3">
      <c r="F249" s="18"/>
      <c r="G249" s="18"/>
    </row>
    <row r="250" spans="6:7" ht="15.75" customHeight="1" x14ac:dyDescent="0.3">
      <c r="F250" s="18"/>
      <c r="G250" s="18"/>
    </row>
    <row r="251" spans="6:7" ht="15.75" customHeight="1" x14ac:dyDescent="0.3">
      <c r="F251" s="18"/>
      <c r="G251" s="18"/>
    </row>
    <row r="252" spans="6:7" ht="15.75" customHeight="1" x14ac:dyDescent="0.3">
      <c r="F252" s="18"/>
      <c r="G252" s="18"/>
    </row>
    <row r="253" spans="6:7" ht="15.75" customHeight="1" x14ac:dyDescent="0.3">
      <c r="F253" s="18"/>
      <c r="G253" s="18"/>
    </row>
    <row r="254" spans="6:7" ht="15.75" customHeight="1" x14ac:dyDescent="0.3">
      <c r="F254" s="18"/>
      <c r="G254" s="18"/>
    </row>
    <row r="255" spans="6:7" ht="15.75" customHeight="1" x14ac:dyDescent="0.3">
      <c r="F255" s="18"/>
      <c r="G255" s="18"/>
    </row>
    <row r="256" spans="6:7" ht="15.75" customHeight="1" x14ac:dyDescent="0.3">
      <c r="F256" s="18"/>
      <c r="G256" s="18"/>
    </row>
    <row r="257" spans="6:7" ht="15.75" customHeight="1" x14ac:dyDescent="0.3">
      <c r="F257" s="18"/>
      <c r="G257" s="18"/>
    </row>
    <row r="258" spans="6:7" ht="15.75" customHeight="1" x14ac:dyDescent="0.3">
      <c r="F258" s="18"/>
      <c r="G258" s="18"/>
    </row>
    <row r="259" spans="6:7" ht="15.75" customHeight="1" x14ac:dyDescent="0.3">
      <c r="F259" s="18"/>
      <c r="G259" s="18"/>
    </row>
    <row r="260" spans="6:7" ht="15.75" customHeight="1" x14ac:dyDescent="0.3">
      <c r="F260" s="18"/>
      <c r="G260" s="18"/>
    </row>
    <row r="261" spans="6:7" ht="15.75" customHeight="1" x14ac:dyDescent="0.3">
      <c r="F261" s="18"/>
      <c r="G261" s="18"/>
    </row>
    <row r="262" spans="6:7" ht="15.75" customHeight="1" x14ac:dyDescent="0.3">
      <c r="F262" s="18"/>
      <c r="G262" s="18"/>
    </row>
    <row r="263" spans="6:7" ht="15.75" customHeight="1" x14ac:dyDescent="0.3">
      <c r="F263" s="18"/>
      <c r="G263" s="18"/>
    </row>
    <row r="264" spans="6:7" ht="15.75" customHeight="1" x14ac:dyDescent="0.3">
      <c r="F264" s="18"/>
      <c r="G264" s="18"/>
    </row>
    <row r="265" spans="6:7" ht="15.75" customHeight="1" x14ac:dyDescent="0.3">
      <c r="F265" s="18"/>
      <c r="G265" s="18"/>
    </row>
    <row r="266" spans="6:7" ht="15.75" customHeight="1" x14ac:dyDescent="0.3">
      <c r="F266" s="18"/>
      <c r="G266" s="18"/>
    </row>
    <row r="267" spans="6:7" ht="15.75" customHeight="1" x14ac:dyDescent="0.3">
      <c r="F267" s="18"/>
      <c r="G267" s="18"/>
    </row>
    <row r="268" spans="6:7" ht="15.75" customHeight="1" x14ac:dyDescent="0.3">
      <c r="F268" s="18"/>
      <c r="G268" s="18"/>
    </row>
    <row r="269" spans="6:7" ht="15.75" customHeight="1" x14ac:dyDescent="0.3">
      <c r="F269" s="18"/>
      <c r="G269" s="18"/>
    </row>
    <row r="270" spans="6:7" ht="15.75" customHeight="1" x14ac:dyDescent="0.3">
      <c r="F270" s="18"/>
      <c r="G270" s="18"/>
    </row>
    <row r="271" spans="6:7" ht="15.75" customHeight="1" x14ac:dyDescent="0.3">
      <c r="F271" s="18"/>
      <c r="G271" s="18"/>
    </row>
    <row r="272" spans="6:7" ht="15.75" customHeight="1" x14ac:dyDescent="0.3">
      <c r="F272" s="18"/>
      <c r="G272" s="18"/>
    </row>
    <row r="273" spans="6:7" ht="15.75" customHeight="1" x14ac:dyDescent="0.3">
      <c r="F273" s="18"/>
      <c r="G273" s="18"/>
    </row>
    <row r="274" spans="6:7" ht="15.75" customHeight="1" x14ac:dyDescent="0.3">
      <c r="F274" s="18"/>
      <c r="G274" s="18"/>
    </row>
    <row r="275" spans="6:7" ht="15.75" customHeight="1" x14ac:dyDescent="0.3">
      <c r="F275" s="18"/>
      <c r="G275" s="18"/>
    </row>
    <row r="276" spans="6:7" ht="15.75" customHeight="1" x14ac:dyDescent="0.3">
      <c r="F276" s="18"/>
      <c r="G276" s="18"/>
    </row>
    <row r="277" spans="6:7" ht="15.75" customHeight="1" x14ac:dyDescent="0.3">
      <c r="F277" s="18"/>
      <c r="G277" s="18"/>
    </row>
    <row r="278" spans="6:7" ht="15.75" customHeight="1" x14ac:dyDescent="0.3">
      <c r="F278" s="18"/>
      <c r="G278" s="18"/>
    </row>
    <row r="279" spans="6:7" ht="15.75" customHeight="1" x14ac:dyDescent="0.3">
      <c r="F279" s="18"/>
      <c r="G279" s="18"/>
    </row>
    <row r="280" spans="6:7" ht="15.75" customHeight="1" x14ac:dyDescent="0.3">
      <c r="F280" s="18"/>
      <c r="G280" s="18"/>
    </row>
    <row r="281" spans="6:7" ht="15.75" customHeight="1" x14ac:dyDescent="0.3">
      <c r="F281" s="18"/>
      <c r="G281" s="18"/>
    </row>
    <row r="282" spans="6:7" ht="15.75" customHeight="1" x14ac:dyDescent="0.3">
      <c r="F282" s="18"/>
      <c r="G282" s="18"/>
    </row>
    <row r="283" spans="6:7" ht="15.75" customHeight="1" x14ac:dyDescent="0.3">
      <c r="F283" s="18"/>
      <c r="G283" s="18"/>
    </row>
    <row r="284" spans="6:7" ht="15.75" customHeight="1" x14ac:dyDescent="0.3">
      <c r="F284" s="18"/>
      <c r="G284" s="18"/>
    </row>
    <row r="285" spans="6:7" ht="15.75" customHeight="1" x14ac:dyDescent="0.3">
      <c r="F285" s="18"/>
      <c r="G285" s="18"/>
    </row>
    <row r="286" spans="6:7" ht="15.75" customHeight="1" x14ac:dyDescent="0.3">
      <c r="F286" s="18"/>
      <c r="G286" s="18"/>
    </row>
    <row r="287" spans="6:7" ht="15.75" customHeight="1" x14ac:dyDescent="0.3">
      <c r="F287" s="18"/>
      <c r="G287" s="18"/>
    </row>
    <row r="288" spans="6:7" ht="15.75" customHeight="1" x14ac:dyDescent="0.3">
      <c r="F288" s="18"/>
      <c r="G288" s="18"/>
    </row>
    <row r="289" spans="6:7" ht="15.75" customHeight="1" x14ac:dyDescent="0.3">
      <c r="F289" s="18"/>
      <c r="G289" s="18"/>
    </row>
    <row r="290" spans="6:7" ht="15.75" customHeight="1" x14ac:dyDescent="0.3">
      <c r="F290" s="18"/>
      <c r="G290" s="18"/>
    </row>
    <row r="291" spans="6:7" ht="15.75" customHeight="1" x14ac:dyDescent="0.3">
      <c r="F291" s="18"/>
      <c r="G291" s="18"/>
    </row>
    <row r="292" spans="6:7" ht="15.75" customHeight="1" x14ac:dyDescent="0.3">
      <c r="F292" s="18"/>
      <c r="G292" s="18"/>
    </row>
    <row r="293" spans="6:7" ht="15.75" customHeight="1" x14ac:dyDescent="0.3">
      <c r="F293" s="18"/>
      <c r="G293" s="18"/>
    </row>
    <row r="294" spans="6:7" ht="15.75" customHeight="1" x14ac:dyDescent="0.3">
      <c r="F294" s="18"/>
      <c r="G294" s="18"/>
    </row>
    <row r="295" spans="6:7" ht="15.75" customHeight="1" x14ac:dyDescent="0.3">
      <c r="F295" s="18"/>
      <c r="G295" s="18"/>
    </row>
    <row r="296" spans="6:7" ht="15.75" customHeight="1" x14ac:dyDescent="0.3">
      <c r="F296" s="18"/>
      <c r="G296" s="18"/>
    </row>
    <row r="297" spans="6:7" ht="15.75" customHeight="1" x14ac:dyDescent="0.3">
      <c r="F297" s="18"/>
      <c r="G297" s="18"/>
    </row>
    <row r="298" spans="6:7" ht="15.75" customHeight="1" x14ac:dyDescent="0.3">
      <c r="F298" s="18"/>
      <c r="G298" s="18"/>
    </row>
    <row r="299" spans="6:7" ht="15.75" customHeight="1" x14ac:dyDescent="0.3">
      <c r="F299" s="18"/>
      <c r="G299" s="18"/>
    </row>
    <row r="300" spans="6:7" ht="15.75" customHeight="1" x14ac:dyDescent="0.3">
      <c r="F300" s="18"/>
      <c r="G300" s="18"/>
    </row>
    <row r="301" spans="6:7" ht="15.75" customHeight="1" x14ac:dyDescent="0.3">
      <c r="F301" s="18"/>
      <c r="G301" s="18"/>
    </row>
    <row r="302" spans="6:7" ht="15.75" customHeight="1" x14ac:dyDescent="0.3">
      <c r="F302" s="18"/>
      <c r="G302" s="18"/>
    </row>
    <row r="303" spans="6:7" ht="15.75" customHeight="1" x14ac:dyDescent="0.3">
      <c r="F303" s="18"/>
      <c r="G303" s="18"/>
    </row>
    <row r="304" spans="6:7" ht="15.75" customHeight="1" x14ac:dyDescent="0.3">
      <c r="F304" s="18"/>
      <c r="G304" s="18"/>
    </row>
    <row r="305" spans="6:7" ht="15.75" customHeight="1" x14ac:dyDescent="0.3">
      <c r="F305" s="18"/>
      <c r="G305" s="18"/>
    </row>
    <row r="306" spans="6:7" ht="15.75" customHeight="1" x14ac:dyDescent="0.3">
      <c r="F306" s="18"/>
      <c r="G306" s="18"/>
    </row>
    <row r="307" spans="6:7" ht="15.75" customHeight="1" x14ac:dyDescent="0.3">
      <c r="F307" s="18"/>
      <c r="G307" s="18"/>
    </row>
    <row r="308" spans="6:7" ht="15.75" customHeight="1" x14ac:dyDescent="0.3">
      <c r="F308" s="18"/>
      <c r="G308" s="18"/>
    </row>
    <row r="309" spans="6:7" ht="15.75" customHeight="1" x14ac:dyDescent="0.3">
      <c r="F309" s="18"/>
      <c r="G309" s="18"/>
    </row>
    <row r="310" spans="6:7" ht="15.75" customHeight="1" x14ac:dyDescent="0.3">
      <c r="F310" s="18"/>
      <c r="G310" s="18"/>
    </row>
    <row r="311" spans="6:7" ht="15.75" customHeight="1" x14ac:dyDescent="0.3">
      <c r="F311" s="18"/>
      <c r="G311" s="18"/>
    </row>
    <row r="312" spans="6:7" ht="15.75" customHeight="1" x14ac:dyDescent="0.3">
      <c r="F312" s="18"/>
      <c r="G312" s="18"/>
    </row>
    <row r="313" spans="6:7" ht="15.75" customHeight="1" x14ac:dyDescent="0.3">
      <c r="F313" s="18"/>
      <c r="G313" s="18"/>
    </row>
    <row r="314" spans="6:7" ht="15.75" customHeight="1" x14ac:dyDescent="0.3">
      <c r="F314" s="18"/>
      <c r="G314" s="18"/>
    </row>
    <row r="315" spans="6:7" ht="15.75" customHeight="1" x14ac:dyDescent="0.3">
      <c r="F315" s="18"/>
      <c r="G315" s="18"/>
    </row>
    <row r="316" spans="6:7" ht="15.75" customHeight="1" x14ac:dyDescent="0.3">
      <c r="F316" s="18"/>
      <c r="G316" s="18"/>
    </row>
    <row r="317" spans="6:7" ht="15.75" customHeight="1" x14ac:dyDescent="0.3">
      <c r="F317" s="18"/>
      <c r="G317" s="18"/>
    </row>
    <row r="318" spans="6:7" ht="15.75" customHeight="1" x14ac:dyDescent="0.3">
      <c r="F318" s="18"/>
      <c r="G318" s="18"/>
    </row>
    <row r="319" spans="6:7" ht="15.75" customHeight="1" x14ac:dyDescent="0.3">
      <c r="F319" s="18"/>
      <c r="G319" s="18"/>
    </row>
    <row r="320" spans="6:7" ht="15.75" customHeight="1" x14ac:dyDescent="0.3">
      <c r="F320" s="18"/>
      <c r="G320" s="18"/>
    </row>
    <row r="321" spans="6:7" ht="15.75" customHeight="1" x14ac:dyDescent="0.3">
      <c r="F321" s="18"/>
      <c r="G321" s="18"/>
    </row>
    <row r="322" spans="6:7" ht="15.75" customHeight="1" x14ac:dyDescent="0.3">
      <c r="F322" s="18"/>
      <c r="G322" s="18"/>
    </row>
    <row r="323" spans="6:7" ht="15.75" customHeight="1" x14ac:dyDescent="0.3">
      <c r="F323" s="18"/>
      <c r="G323" s="18"/>
    </row>
    <row r="324" spans="6:7" ht="15.75" customHeight="1" x14ac:dyDescent="0.3">
      <c r="F324" s="18"/>
      <c r="G324" s="18"/>
    </row>
    <row r="325" spans="6:7" ht="15.75" customHeight="1" x14ac:dyDescent="0.3">
      <c r="F325" s="18"/>
      <c r="G325" s="18"/>
    </row>
    <row r="326" spans="6:7" ht="15.75" customHeight="1" x14ac:dyDescent="0.3">
      <c r="F326" s="18"/>
      <c r="G326" s="18"/>
    </row>
    <row r="327" spans="6:7" ht="15.75" customHeight="1" x14ac:dyDescent="0.3">
      <c r="F327" s="18"/>
      <c r="G327" s="18"/>
    </row>
    <row r="328" spans="6:7" ht="15.75" customHeight="1" x14ac:dyDescent="0.3">
      <c r="F328" s="18"/>
      <c r="G328" s="18"/>
    </row>
    <row r="329" spans="6:7" ht="15.75" customHeight="1" x14ac:dyDescent="0.3">
      <c r="F329" s="18"/>
      <c r="G329" s="18"/>
    </row>
    <row r="330" spans="6:7" ht="15.75" customHeight="1" x14ac:dyDescent="0.3">
      <c r="F330" s="18"/>
      <c r="G330" s="18"/>
    </row>
    <row r="331" spans="6:7" ht="15.75" customHeight="1" x14ac:dyDescent="0.3">
      <c r="F331" s="18"/>
      <c r="G331" s="18"/>
    </row>
    <row r="332" spans="6:7" ht="15.75" customHeight="1" x14ac:dyDescent="0.3">
      <c r="F332" s="18"/>
      <c r="G332" s="18"/>
    </row>
    <row r="333" spans="6:7" ht="15.75" customHeight="1" x14ac:dyDescent="0.3">
      <c r="F333" s="18"/>
      <c r="G333" s="18"/>
    </row>
    <row r="334" spans="6:7" ht="15.75" customHeight="1" x14ac:dyDescent="0.3">
      <c r="F334" s="18"/>
      <c r="G334" s="18"/>
    </row>
    <row r="335" spans="6:7" ht="15.75" customHeight="1" x14ac:dyDescent="0.3">
      <c r="F335" s="18"/>
      <c r="G335" s="18"/>
    </row>
    <row r="336" spans="6:7" ht="15.75" customHeight="1" x14ac:dyDescent="0.3">
      <c r="F336" s="18"/>
      <c r="G336" s="18"/>
    </row>
    <row r="337" spans="6:7" ht="15.75" customHeight="1" x14ac:dyDescent="0.3">
      <c r="F337" s="18"/>
      <c r="G337" s="18"/>
    </row>
    <row r="338" spans="6:7" ht="15.75" customHeight="1" x14ac:dyDescent="0.3">
      <c r="F338" s="18"/>
      <c r="G338" s="18"/>
    </row>
    <row r="339" spans="6:7" ht="15.75" customHeight="1" x14ac:dyDescent="0.3">
      <c r="F339" s="18"/>
      <c r="G339" s="18"/>
    </row>
    <row r="340" spans="6:7" ht="15.75" customHeight="1" x14ac:dyDescent="0.3">
      <c r="F340" s="18"/>
      <c r="G340" s="18"/>
    </row>
    <row r="341" spans="6:7" ht="15.75" customHeight="1" x14ac:dyDescent="0.3">
      <c r="F341" s="18"/>
      <c r="G341" s="18"/>
    </row>
    <row r="342" spans="6:7" ht="15.75" customHeight="1" x14ac:dyDescent="0.3">
      <c r="F342" s="18"/>
      <c r="G342" s="18"/>
    </row>
    <row r="343" spans="6:7" ht="15.75" customHeight="1" x14ac:dyDescent="0.3">
      <c r="F343" s="18"/>
      <c r="G343" s="18"/>
    </row>
    <row r="344" spans="6:7" ht="15.75" customHeight="1" x14ac:dyDescent="0.3">
      <c r="F344" s="18"/>
      <c r="G344" s="18"/>
    </row>
    <row r="345" spans="6:7" ht="15.75" customHeight="1" x14ac:dyDescent="0.3">
      <c r="F345" s="18"/>
      <c r="G345" s="18"/>
    </row>
    <row r="346" spans="6:7" ht="15.75" customHeight="1" x14ac:dyDescent="0.3">
      <c r="F346" s="18"/>
      <c r="G346" s="18"/>
    </row>
    <row r="347" spans="6:7" ht="15.75" customHeight="1" x14ac:dyDescent="0.3">
      <c r="F347" s="18"/>
      <c r="G347" s="18"/>
    </row>
    <row r="348" spans="6:7" ht="15.75" customHeight="1" x14ac:dyDescent="0.3">
      <c r="F348" s="18"/>
      <c r="G348" s="18"/>
    </row>
    <row r="349" spans="6:7" ht="15.75" customHeight="1" x14ac:dyDescent="0.3">
      <c r="F349" s="18"/>
      <c r="G349" s="18"/>
    </row>
    <row r="350" spans="6:7" ht="15.75" customHeight="1" x14ac:dyDescent="0.3">
      <c r="F350" s="18"/>
      <c r="G350" s="18"/>
    </row>
    <row r="351" spans="6:7" ht="15.75" customHeight="1" x14ac:dyDescent="0.3">
      <c r="F351" s="18"/>
      <c r="G351" s="18"/>
    </row>
    <row r="352" spans="6:7" ht="15.75" customHeight="1" x14ac:dyDescent="0.3">
      <c r="F352" s="18"/>
      <c r="G352" s="18"/>
    </row>
    <row r="353" spans="6:7" ht="15.75" customHeight="1" x14ac:dyDescent="0.3">
      <c r="F353" s="18"/>
      <c r="G353" s="18"/>
    </row>
    <row r="354" spans="6:7" ht="15.75" customHeight="1" x14ac:dyDescent="0.3">
      <c r="F354" s="18"/>
      <c r="G354" s="18"/>
    </row>
    <row r="355" spans="6:7" ht="15.75" customHeight="1" x14ac:dyDescent="0.3">
      <c r="F355" s="18"/>
      <c r="G355" s="18"/>
    </row>
    <row r="356" spans="6:7" ht="15.75" customHeight="1" x14ac:dyDescent="0.3">
      <c r="F356" s="18"/>
      <c r="G356" s="18"/>
    </row>
    <row r="357" spans="6:7" ht="15.75" customHeight="1" x14ac:dyDescent="0.3">
      <c r="F357" s="18"/>
      <c r="G357" s="18"/>
    </row>
    <row r="358" spans="6:7" ht="15.75" customHeight="1" x14ac:dyDescent="0.3">
      <c r="F358" s="18"/>
      <c r="G358" s="18"/>
    </row>
    <row r="359" spans="6:7" ht="15.75" customHeight="1" x14ac:dyDescent="0.3">
      <c r="F359" s="18"/>
      <c r="G359" s="18"/>
    </row>
    <row r="360" spans="6:7" ht="15.75" customHeight="1" x14ac:dyDescent="0.3">
      <c r="F360" s="18"/>
      <c r="G360" s="18"/>
    </row>
    <row r="361" spans="6:7" ht="15.75" customHeight="1" x14ac:dyDescent="0.3">
      <c r="F361" s="18"/>
      <c r="G361" s="18"/>
    </row>
    <row r="362" spans="6:7" ht="15.75" customHeight="1" x14ac:dyDescent="0.3">
      <c r="F362" s="18"/>
      <c r="G362" s="18"/>
    </row>
    <row r="363" spans="6:7" ht="15.75" customHeight="1" x14ac:dyDescent="0.3">
      <c r="F363" s="18"/>
      <c r="G363" s="18"/>
    </row>
    <row r="364" spans="6:7" ht="15.75" customHeight="1" x14ac:dyDescent="0.3">
      <c r="F364" s="18"/>
      <c r="G364" s="18"/>
    </row>
    <row r="365" spans="6:7" ht="15.75" customHeight="1" x14ac:dyDescent="0.3">
      <c r="F365" s="18"/>
      <c r="G365" s="18"/>
    </row>
    <row r="366" spans="6:7" ht="15.75" customHeight="1" x14ac:dyDescent="0.3">
      <c r="F366" s="18"/>
      <c r="G366" s="18"/>
    </row>
    <row r="367" spans="6:7" ht="15.75" customHeight="1" x14ac:dyDescent="0.3">
      <c r="F367" s="18"/>
      <c r="G367" s="18"/>
    </row>
    <row r="368" spans="6:7" ht="15.75" customHeight="1" x14ac:dyDescent="0.3">
      <c r="F368" s="18"/>
      <c r="G368" s="18"/>
    </row>
    <row r="369" spans="6:7" ht="15.75" customHeight="1" x14ac:dyDescent="0.3">
      <c r="F369" s="18"/>
      <c r="G369" s="18"/>
    </row>
    <row r="370" spans="6:7" ht="15.75" customHeight="1" x14ac:dyDescent="0.3">
      <c r="F370" s="18"/>
      <c r="G370" s="18"/>
    </row>
    <row r="371" spans="6:7" ht="15.75" customHeight="1" x14ac:dyDescent="0.3">
      <c r="F371" s="18"/>
      <c r="G371" s="18"/>
    </row>
    <row r="372" spans="6:7" ht="15.75" customHeight="1" x14ac:dyDescent="0.3">
      <c r="F372" s="18"/>
      <c r="G372" s="18"/>
    </row>
    <row r="373" spans="6:7" ht="15.75" customHeight="1" x14ac:dyDescent="0.3">
      <c r="F373" s="18"/>
      <c r="G373" s="18"/>
    </row>
    <row r="374" spans="6:7" ht="15.75" customHeight="1" x14ac:dyDescent="0.3">
      <c r="F374" s="18"/>
      <c r="G374" s="18"/>
    </row>
    <row r="375" spans="6:7" ht="15.75" customHeight="1" x14ac:dyDescent="0.3">
      <c r="F375" s="18"/>
      <c r="G375" s="18"/>
    </row>
    <row r="376" spans="6:7" ht="15.75" customHeight="1" x14ac:dyDescent="0.3">
      <c r="F376" s="18"/>
      <c r="G376" s="18"/>
    </row>
    <row r="377" spans="6:7" ht="15.75" customHeight="1" x14ac:dyDescent="0.3">
      <c r="F377" s="18"/>
      <c r="G377" s="18"/>
    </row>
    <row r="378" spans="6:7" ht="15.75" customHeight="1" x14ac:dyDescent="0.3">
      <c r="F378" s="18"/>
      <c r="G378" s="18"/>
    </row>
    <row r="379" spans="6:7" ht="15.75" customHeight="1" x14ac:dyDescent="0.3">
      <c r="F379" s="18"/>
      <c r="G379" s="18"/>
    </row>
    <row r="380" spans="6:7" ht="15.75" customHeight="1" x14ac:dyDescent="0.3">
      <c r="F380" s="18"/>
      <c r="G380" s="18"/>
    </row>
    <row r="381" spans="6:7" ht="15.75" customHeight="1" x14ac:dyDescent="0.3">
      <c r="F381" s="18"/>
      <c r="G381" s="18"/>
    </row>
    <row r="382" spans="6:7" ht="15.75" customHeight="1" x14ac:dyDescent="0.3">
      <c r="F382" s="18"/>
      <c r="G382" s="18"/>
    </row>
    <row r="383" spans="6:7" ht="15.75" customHeight="1" x14ac:dyDescent="0.3">
      <c r="F383" s="18"/>
      <c r="G383" s="18"/>
    </row>
    <row r="384" spans="6:7" ht="15.75" customHeight="1" x14ac:dyDescent="0.3">
      <c r="F384" s="18"/>
      <c r="G384" s="18"/>
    </row>
    <row r="385" spans="6:7" ht="15.75" customHeight="1" x14ac:dyDescent="0.3">
      <c r="F385" s="18"/>
      <c r="G385" s="18"/>
    </row>
    <row r="386" spans="6:7" ht="15.75" customHeight="1" x14ac:dyDescent="0.3">
      <c r="F386" s="18"/>
      <c r="G386" s="18"/>
    </row>
    <row r="387" spans="6:7" ht="15.75" customHeight="1" x14ac:dyDescent="0.3">
      <c r="F387" s="18"/>
      <c r="G387" s="18"/>
    </row>
    <row r="388" spans="6:7" ht="15.75" customHeight="1" x14ac:dyDescent="0.3">
      <c r="F388" s="18"/>
      <c r="G388" s="18"/>
    </row>
    <row r="389" spans="6:7" ht="15.75" customHeight="1" x14ac:dyDescent="0.3">
      <c r="F389" s="18"/>
      <c r="G389" s="18"/>
    </row>
    <row r="390" spans="6:7" ht="15.75" customHeight="1" x14ac:dyDescent="0.3">
      <c r="F390" s="18"/>
      <c r="G390" s="18"/>
    </row>
    <row r="391" spans="6:7" ht="15.75" customHeight="1" x14ac:dyDescent="0.3">
      <c r="F391" s="18"/>
      <c r="G391" s="18"/>
    </row>
    <row r="392" spans="6:7" ht="15.75" customHeight="1" x14ac:dyDescent="0.3">
      <c r="F392" s="18"/>
      <c r="G392" s="18"/>
    </row>
    <row r="393" spans="6:7" ht="15.75" customHeight="1" x14ac:dyDescent="0.3">
      <c r="F393" s="18"/>
      <c r="G393" s="18"/>
    </row>
    <row r="394" spans="6:7" ht="15.75" customHeight="1" x14ac:dyDescent="0.3">
      <c r="F394" s="18"/>
      <c r="G394" s="18"/>
    </row>
    <row r="395" spans="6:7" ht="15.75" customHeight="1" x14ac:dyDescent="0.3">
      <c r="F395" s="18"/>
      <c r="G395" s="18"/>
    </row>
    <row r="396" spans="6:7" ht="15.75" customHeight="1" x14ac:dyDescent="0.3">
      <c r="F396" s="18"/>
      <c r="G396" s="18"/>
    </row>
    <row r="397" spans="6:7" ht="15.75" customHeight="1" x14ac:dyDescent="0.3">
      <c r="F397" s="18"/>
      <c r="G397" s="18"/>
    </row>
    <row r="398" spans="6:7" ht="15.75" customHeight="1" x14ac:dyDescent="0.3">
      <c r="F398" s="18"/>
      <c r="G398" s="18"/>
    </row>
    <row r="399" spans="6:7" ht="15.75" customHeight="1" x14ac:dyDescent="0.3">
      <c r="F399" s="18"/>
      <c r="G399" s="18"/>
    </row>
    <row r="400" spans="6:7" ht="15.75" customHeight="1" x14ac:dyDescent="0.3">
      <c r="F400" s="18"/>
      <c r="G400" s="18"/>
    </row>
    <row r="401" spans="6:7" ht="15.75" customHeight="1" x14ac:dyDescent="0.3">
      <c r="F401" s="18"/>
      <c r="G401" s="18"/>
    </row>
    <row r="402" spans="6:7" ht="15.75" customHeight="1" x14ac:dyDescent="0.3">
      <c r="F402" s="18"/>
      <c r="G402" s="18"/>
    </row>
    <row r="403" spans="6:7" ht="15.75" customHeight="1" x14ac:dyDescent="0.3">
      <c r="F403" s="18"/>
      <c r="G403" s="18"/>
    </row>
    <row r="404" spans="6:7" ht="15.75" customHeight="1" x14ac:dyDescent="0.3">
      <c r="F404" s="18"/>
      <c r="G404" s="18"/>
    </row>
    <row r="405" spans="6:7" ht="15.75" customHeight="1" x14ac:dyDescent="0.3">
      <c r="F405" s="18"/>
      <c r="G405" s="18"/>
    </row>
    <row r="406" spans="6:7" ht="15.75" customHeight="1" x14ac:dyDescent="0.3">
      <c r="F406" s="18"/>
      <c r="G406" s="18"/>
    </row>
    <row r="407" spans="6:7" ht="15.75" customHeight="1" x14ac:dyDescent="0.3">
      <c r="F407" s="18"/>
      <c r="G407" s="18"/>
    </row>
    <row r="408" spans="6:7" ht="15.75" customHeight="1" x14ac:dyDescent="0.3">
      <c r="F408" s="18"/>
      <c r="G408" s="18"/>
    </row>
    <row r="409" spans="6:7" ht="15.75" customHeight="1" x14ac:dyDescent="0.3">
      <c r="F409" s="18"/>
      <c r="G409" s="18"/>
    </row>
    <row r="410" spans="6:7" ht="15.75" customHeight="1" x14ac:dyDescent="0.3">
      <c r="F410" s="18"/>
      <c r="G410" s="18"/>
    </row>
    <row r="411" spans="6:7" ht="15.75" customHeight="1" x14ac:dyDescent="0.3">
      <c r="F411" s="18"/>
      <c r="G411" s="18"/>
    </row>
    <row r="412" spans="6:7" ht="15.75" customHeight="1" x14ac:dyDescent="0.3">
      <c r="F412" s="18"/>
      <c r="G412" s="18"/>
    </row>
    <row r="413" spans="6:7" ht="15.75" customHeight="1" x14ac:dyDescent="0.3">
      <c r="F413" s="18"/>
      <c r="G413" s="18"/>
    </row>
    <row r="414" spans="6:7" ht="15.75" customHeight="1" x14ac:dyDescent="0.3">
      <c r="F414" s="18"/>
      <c r="G414" s="18"/>
    </row>
    <row r="415" spans="6:7" ht="15.75" customHeight="1" x14ac:dyDescent="0.3">
      <c r="F415" s="18"/>
      <c r="G415" s="18"/>
    </row>
    <row r="416" spans="6:7" ht="15.75" customHeight="1" x14ac:dyDescent="0.3">
      <c r="F416" s="18"/>
      <c r="G416" s="18"/>
    </row>
    <row r="417" spans="6:7" ht="15.75" customHeight="1" x14ac:dyDescent="0.3">
      <c r="F417" s="18"/>
      <c r="G417" s="18"/>
    </row>
    <row r="418" spans="6:7" ht="15.75" customHeight="1" x14ac:dyDescent="0.3">
      <c r="F418" s="18"/>
      <c r="G418" s="18"/>
    </row>
    <row r="419" spans="6:7" ht="15.75" customHeight="1" x14ac:dyDescent="0.3">
      <c r="F419" s="18"/>
      <c r="G419" s="18"/>
    </row>
    <row r="420" spans="6:7" ht="15.75" customHeight="1" x14ac:dyDescent="0.3">
      <c r="F420" s="18"/>
      <c r="G420" s="18"/>
    </row>
    <row r="421" spans="6:7" ht="15.75" customHeight="1" x14ac:dyDescent="0.3">
      <c r="F421" s="18"/>
      <c r="G421" s="18"/>
    </row>
    <row r="422" spans="6:7" ht="15.75" customHeight="1" x14ac:dyDescent="0.3">
      <c r="F422" s="18"/>
      <c r="G422" s="18"/>
    </row>
    <row r="423" spans="6:7" ht="15.75" customHeight="1" x14ac:dyDescent="0.3">
      <c r="F423" s="18"/>
      <c r="G423" s="18"/>
    </row>
    <row r="424" spans="6:7" ht="15.75" customHeight="1" x14ac:dyDescent="0.3">
      <c r="F424" s="18"/>
      <c r="G424" s="18"/>
    </row>
    <row r="425" spans="6:7" ht="15.75" customHeight="1" x14ac:dyDescent="0.3">
      <c r="F425" s="18"/>
      <c r="G425" s="18"/>
    </row>
    <row r="426" spans="6:7" ht="15.75" customHeight="1" x14ac:dyDescent="0.3">
      <c r="F426" s="18"/>
      <c r="G426" s="18"/>
    </row>
    <row r="427" spans="6:7" ht="15.75" customHeight="1" x14ac:dyDescent="0.3">
      <c r="F427" s="18"/>
      <c r="G427" s="18"/>
    </row>
    <row r="428" spans="6:7" ht="15.75" customHeight="1" x14ac:dyDescent="0.3">
      <c r="F428" s="18"/>
      <c r="G428" s="18"/>
    </row>
    <row r="429" spans="6:7" ht="15.75" customHeight="1" x14ac:dyDescent="0.3">
      <c r="F429" s="18"/>
      <c r="G429" s="18"/>
    </row>
    <row r="430" spans="6:7" ht="15.75" customHeight="1" x14ac:dyDescent="0.3">
      <c r="F430" s="18"/>
      <c r="G430" s="18"/>
    </row>
    <row r="431" spans="6:7" ht="15.75" customHeight="1" x14ac:dyDescent="0.3">
      <c r="F431" s="18"/>
      <c r="G431" s="18"/>
    </row>
    <row r="432" spans="6:7" ht="15.75" customHeight="1" x14ac:dyDescent="0.3">
      <c r="F432" s="18"/>
      <c r="G432" s="18"/>
    </row>
    <row r="433" spans="6:7" ht="15.75" customHeight="1" x14ac:dyDescent="0.3">
      <c r="F433" s="18"/>
      <c r="G433" s="18"/>
    </row>
    <row r="434" spans="6:7" ht="15.75" customHeight="1" x14ac:dyDescent="0.3">
      <c r="F434" s="18"/>
      <c r="G434" s="18"/>
    </row>
    <row r="435" spans="6:7" ht="15.75" customHeight="1" x14ac:dyDescent="0.3">
      <c r="F435" s="18"/>
      <c r="G435" s="18"/>
    </row>
    <row r="436" spans="6:7" ht="15.75" customHeight="1" x14ac:dyDescent="0.3">
      <c r="F436" s="18"/>
      <c r="G436" s="18"/>
    </row>
    <row r="437" spans="6:7" ht="15.75" customHeight="1" x14ac:dyDescent="0.3">
      <c r="F437" s="18"/>
      <c r="G437" s="18"/>
    </row>
    <row r="438" spans="6:7" ht="15.75" customHeight="1" x14ac:dyDescent="0.3">
      <c r="F438" s="18"/>
      <c r="G438" s="18"/>
    </row>
    <row r="439" spans="6:7" ht="15.75" customHeight="1" x14ac:dyDescent="0.3">
      <c r="F439" s="18"/>
      <c r="G439" s="18"/>
    </row>
    <row r="440" spans="6:7" ht="15.75" customHeight="1" x14ac:dyDescent="0.3">
      <c r="F440" s="18"/>
      <c r="G440" s="18"/>
    </row>
    <row r="441" spans="6:7" ht="15.75" customHeight="1" x14ac:dyDescent="0.3">
      <c r="F441" s="18"/>
      <c r="G441" s="18"/>
    </row>
    <row r="442" spans="6:7" ht="15.75" customHeight="1" x14ac:dyDescent="0.3">
      <c r="F442" s="18"/>
      <c r="G442" s="18"/>
    </row>
    <row r="443" spans="6:7" ht="15.75" customHeight="1" x14ac:dyDescent="0.3">
      <c r="F443" s="18"/>
      <c r="G443" s="18"/>
    </row>
    <row r="444" spans="6:7" ht="15.75" customHeight="1" x14ac:dyDescent="0.3">
      <c r="F444" s="18"/>
      <c r="G444" s="18"/>
    </row>
    <row r="445" spans="6:7" ht="15.75" customHeight="1" x14ac:dyDescent="0.3">
      <c r="F445" s="18"/>
      <c r="G445" s="18"/>
    </row>
    <row r="446" spans="6:7" ht="15.75" customHeight="1" x14ac:dyDescent="0.3">
      <c r="F446" s="18"/>
      <c r="G446" s="18"/>
    </row>
    <row r="447" spans="6:7" ht="15.75" customHeight="1" x14ac:dyDescent="0.3">
      <c r="F447" s="18"/>
      <c r="G447" s="18"/>
    </row>
    <row r="448" spans="6:7" ht="15.75" customHeight="1" x14ac:dyDescent="0.3">
      <c r="F448" s="18"/>
      <c r="G448" s="18"/>
    </row>
    <row r="449" spans="6:7" ht="15.75" customHeight="1" x14ac:dyDescent="0.3">
      <c r="F449" s="18"/>
      <c r="G449" s="18"/>
    </row>
    <row r="450" spans="6:7" ht="15.75" customHeight="1" x14ac:dyDescent="0.3">
      <c r="F450" s="18"/>
      <c r="G450" s="18"/>
    </row>
    <row r="451" spans="6:7" ht="15.75" customHeight="1" x14ac:dyDescent="0.3">
      <c r="F451" s="18"/>
      <c r="G451" s="18"/>
    </row>
    <row r="452" spans="6:7" ht="15.75" customHeight="1" x14ac:dyDescent="0.3">
      <c r="F452" s="18"/>
      <c r="G452" s="18"/>
    </row>
    <row r="453" spans="6:7" ht="15.75" customHeight="1" x14ac:dyDescent="0.3">
      <c r="F453" s="18"/>
      <c r="G453" s="18"/>
    </row>
    <row r="454" spans="6:7" ht="15.75" customHeight="1" x14ac:dyDescent="0.3">
      <c r="F454" s="18"/>
      <c r="G454" s="18"/>
    </row>
    <row r="455" spans="6:7" ht="15.75" customHeight="1" x14ac:dyDescent="0.3">
      <c r="F455" s="18"/>
      <c r="G455" s="18"/>
    </row>
    <row r="456" spans="6:7" ht="15.75" customHeight="1" x14ac:dyDescent="0.3">
      <c r="F456" s="18"/>
      <c r="G456" s="18"/>
    </row>
    <row r="457" spans="6:7" ht="15.75" customHeight="1" x14ac:dyDescent="0.3">
      <c r="F457" s="18"/>
      <c r="G457" s="18"/>
    </row>
    <row r="458" spans="6:7" ht="15.75" customHeight="1" x14ac:dyDescent="0.3">
      <c r="F458" s="18"/>
      <c r="G458" s="18"/>
    </row>
    <row r="459" spans="6:7" ht="15.75" customHeight="1" x14ac:dyDescent="0.3">
      <c r="F459" s="18"/>
      <c r="G459" s="18"/>
    </row>
    <row r="460" spans="6:7" ht="15.75" customHeight="1" x14ac:dyDescent="0.3">
      <c r="F460" s="18"/>
      <c r="G460" s="18"/>
    </row>
    <row r="461" spans="6:7" ht="15.75" customHeight="1" x14ac:dyDescent="0.3">
      <c r="F461" s="18"/>
      <c r="G461" s="18"/>
    </row>
    <row r="462" spans="6:7" ht="15.75" customHeight="1" x14ac:dyDescent="0.3">
      <c r="F462" s="18"/>
      <c r="G462" s="18"/>
    </row>
    <row r="463" spans="6:7" ht="15.75" customHeight="1" x14ac:dyDescent="0.3">
      <c r="F463" s="18"/>
      <c r="G463" s="18"/>
    </row>
    <row r="464" spans="6:7" ht="15.75" customHeight="1" x14ac:dyDescent="0.3">
      <c r="F464" s="18"/>
      <c r="G464" s="18"/>
    </row>
    <row r="465" spans="6:7" ht="15.75" customHeight="1" x14ac:dyDescent="0.3">
      <c r="F465" s="18"/>
      <c r="G465" s="18"/>
    </row>
    <row r="466" spans="6:7" ht="15.75" customHeight="1" x14ac:dyDescent="0.3">
      <c r="F466" s="18"/>
      <c r="G466" s="18"/>
    </row>
    <row r="467" spans="6:7" ht="15.75" customHeight="1" x14ac:dyDescent="0.3">
      <c r="F467" s="18"/>
      <c r="G467" s="18"/>
    </row>
    <row r="468" spans="6:7" ht="15.75" customHeight="1" x14ac:dyDescent="0.3">
      <c r="F468" s="18"/>
      <c r="G468" s="18"/>
    </row>
    <row r="469" spans="6:7" ht="15.75" customHeight="1" x14ac:dyDescent="0.3">
      <c r="F469" s="18"/>
      <c r="G469" s="18"/>
    </row>
    <row r="470" spans="6:7" ht="15.75" customHeight="1" x14ac:dyDescent="0.3">
      <c r="F470" s="18"/>
      <c r="G470" s="18"/>
    </row>
    <row r="471" spans="6:7" ht="15.75" customHeight="1" x14ac:dyDescent="0.3">
      <c r="F471" s="18"/>
      <c r="G471" s="18"/>
    </row>
    <row r="472" spans="6:7" ht="15.75" customHeight="1" x14ac:dyDescent="0.3">
      <c r="F472" s="18"/>
      <c r="G472" s="18"/>
    </row>
    <row r="473" spans="6:7" ht="15.75" customHeight="1" x14ac:dyDescent="0.3">
      <c r="F473" s="18"/>
      <c r="G473" s="18"/>
    </row>
    <row r="474" spans="6:7" ht="15.75" customHeight="1" x14ac:dyDescent="0.3">
      <c r="F474" s="18"/>
      <c r="G474" s="18"/>
    </row>
    <row r="475" spans="6:7" ht="15.75" customHeight="1" x14ac:dyDescent="0.3">
      <c r="F475" s="18"/>
      <c r="G475" s="18"/>
    </row>
    <row r="476" spans="6:7" ht="15.75" customHeight="1" x14ac:dyDescent="0.3">
      <c r="F476" s="18"/>
      <c r="G476" s="18"/>
    </row>
    <row r="477" spans="6:7" ht="15.75" customHeight="1" x14ac:dyDescent="0.3">
      <c r="F477" s="18"/>
      <c r="G477" s="18"/>
    </row>
    <row r="478" spans="6:7" ht="15.75" customHeight="1" x14ac:dyDescent="0.3">
      <c r="F478" s="18"/>
      <c r="G478" s="18"/>
    </row>
    <row r="479" spans="6:7" ht="15.75" customHeight="1" x14ac:dyDescent="0.3">
      <c r="F479" s="18"/>
      <c r="G479" s="18"/>
    </row>
    <row r="480" spans="6:7" ht="15.75" customHeight="1" x14ac:dyDescent="0.3">
      <c r="F480" s="18"/>
      <c r="G480" s="18"/>
    </row>
    <row r="481" spans="6:7" ht="15.75" customHeight="1" x14ac:dyDescent="0.3">
      <c r="F481" s="18"/>
      <c r="G481" s="18"/>
    </row>
    <row r="482" spans="6:7" ht="15.75" customHeight="1" x14ac:dyDescent="0.3">
      <c r="F482" s="18"/>
      <c r="G482" s="18"/>
    </row>
    <row r="483" spans="6:7" ht="15.75" customHeight="1" x14ac:dyDescent="0.3">
      <c r="F483" s="18"/>
      <c r="G483" s="18"/>
    </row>
    <row r="484" spans="6:7" ht="15.75" customHeight="1" x14ac:dyDescent="0.3">
      <c r="F484" s="18"/>
      <c r="G484" s="18"/>
    </row>
    <row r="485" spans="6:7" ht="15.75" customHeight="1" x14ac:dyDescent="0.3">
      <c r="F485" s="18"/>
      <c r="G485" s="18"/>
    </row>
    <row r="486" spans="6:7" ht="15.75" customHeight="1" x14ac:dyDescent="0.3">
      <c r="F486" s="18"/>
      <c r="G486" s="18"/>
    </row>
    <row r="487" spans="6:7" ht="15.75" customHeight="1" x14ac:dyDescent="0.3">
      <c r="F487" s="18"/>
      <c r="G487" s="18"/>
    </row>
    <row r="488" spans="6:7" ht="15.75" customHeight="1" x14ac:dyDescent="0.3">
      <c r="F488" s="18"/>
      <c r="G488" s="18"/>
    </row>
    <row r="489" spans="6:7" ht="15.75" customHeight="1" x14ac:dyDescent="0.3">
      <c r="F489" s="18"/>
      <c r="G489" s="18"/>
    </row>
    <row r="490" spans="6:7" ht="15.75" customHeight="1" x14ac:dyDescent="0.3">
      <c r="F490" s="18"/>
      <c r="G490" s="18"/>
    </row>
    <row r="491" spans="6:7" ht="15.75" customHeight="1" x14ac:dyDescent="0.3">
      <c r="F491" s="18"/>
      <c r="G491" s="18"/>
    </row>
    <row r="492" spans="6:7" ht="15.75" customHeight="1" x14ac:dyDescent="0.3">
      <c r="F492" s="18"/>
      <c r="G492" s="18"/>
    </row>
    <row r="493" spans="6:7" ht="15.75" customHeight="1" x14ac:dyDescent="0.3">
      <c r="F493" s="18"/>
      <c r="G493" s="18"/>
    </row>
    <row r="494" spans="6:7" ht="15.75" customHeight="1" x14ac:dyDescent="0.3">
      <c r="F494" s="18"/>
      <c r="G494" s="18"/>
    </row>
    <row r="495" spans="6:7" ht="15.75" customHeight="1" x14ac:dyDescent="0.3">
      <c r="F495" s="18"/>
      <c r="G495" s="18"/>
    </row>
    <row r="496" spans="6:7" ht="15.75" customHeight="1" x14ac:dyDescent="0.3">
      <c r="F496" s="18"/>
      <c r="G496" s="18"/>
    </row>
    <row r="497" spans="6:7" ht="15.75" customHeight="1" x14ac:dyDescent="0.3">
      <c r="F497" s="18"/>
      <c r="G497" s="18"/>
    </row>
    <row r="498" spans="6:7" ht="15.75" customHeight="1" x14ac:dyDescent="0.3">
      <c r="F498" s="18"/>
      <c r="G498" s="18"/>
    </row>
    <row r="499" spans="6:7" ht="15.75" customHeight="1" x14ac:dyDescent="0.3">
      <c r="F499" s="18"/>
      <c r="G499" s="18"/>
    </row>
    <row r="500" spans="6:7" ht="15.75" customHeight="1" x14ac:dyDescent="0.3">
      <c r="F500" s="18"/>
      <c r="G500" s="18"/>
    </row>
    <row r="501" spans="6:7" ht="15.75" customHeight="1" x14ac:dyDescent="0.3">
      <c r="F501" s="18"/>
      <c r="G501" s="18"/>
    </row>
    <row r="502" spans="6:7" ht="15.75" customHeight="1" x14ac:dyDescent="0.3">
      <c r="F502" s="18"/>
      <c r="G502" s="18"/>
    </row>
    <row r="503" spans="6:7" ht="15.75" customHeight="1" x14ac:dyDescent="0.3">
      <c r="F503" s="18"/>
      <c r="G503" s="18"/>
    </row>
    <row r="504" spans="6:7" ht="15.75" customHeight="1" x14ac:dyDescent="0.3">
      <c r="F504" s="18"/>
      <c r="G504" s="18"/>
    </row>
    <row r="505" spans="6:7" ht="15.75" customHeight="1" x14ac:dyDescent="0.3">
      <c r="F505" s="18"/>
      <c r="G505" s="18"/>
    </row>
    <row r="506" spans="6:7" ht="15.75" customHeight="1" x14ac:dyDescent="0.3">
      <c r="F506" s="18"/>
      <c r="G506" s="18"/>
    </row>
    <row r="507" spans="6:7" ht="15.75" customHeight="1" x14ac:dyDescent="0.3">
      <c r="F507" s="18"/>
      <c r="G507" s="18"/>
    </row>
    <row r="508" spans="6:7" ht="15.75" customHeight="1" x14ac:dyDescent="0.3">
      <c r="F508" s="18"/>
      <c r="G508" s="18"/>
    </row>
    <row r="509" spans="6:7" ht="15.75" customHeight="1" x14ac:dyDescent="0.3">
      <c r="F509" s="18"/>
      <c r="G509" s="18"/>
    </row>
    <row r="510" spans="6:7" ht="15.75" customHeight="1" x14ac:dyDescent="0.3">
      <c r="F510" s="18"/>
      <c r="G510" s="18"/>
    </row>
    <row r="511" spans="6:7" ht="15.75" customHeight="1" x14ac:dyDescent="0.3">
      <c r="F511" s="18"/>
      <c r="G511" s="18"/>
    </row>
    <row r="512" spans="6:7" ht="15.75" customHeight="1" x14ac:dyDescent="0.3">
      <c r="F512" s="18"/>
      <c r="G512" s="18"/>
    </row>
    <row r="513" spans="6:7" ht="15.75" customHeight="1" x14ac:dyDescent="0.3">
      <c r="F513" s="18"/>
      <c r="G513" s="18"/>
    </row>
    <row r="514" spans="6:7" ht="15.75" customHeight="1" x14ac:dyDescent="0.3">
      <c r="F514" s="18"/>
      <c r="G514" s="18"/>
    </row>
    <row r="515" spans="6:7" ht="15.75" customHeight="1" x14ac:dyDescent="0.3">
      <c r="F515" s="18"/>
      <c r="G515" s="18"/>
    </row>
    <row r="516" spans="6:7" ht="15.75" customHeight="1" x14ac:dyDescent="0.3">
      <c r="F516" s="18"/>
      <c r="G516" s="18"/>
    </row>
    <row r="517" spans="6:7" ht="15.75" customHeight="1" x14ac:dyDescent="0.3">
      <c r="F517" s="18"/>
      <c r="G517" s="18"/>
    </row>
    <row r="518" spans="6:7" ht="15.75" customHeight="1" x14ac:dyDescent="0.3">
      <c r="F518" s="18"/>
      <c r="G518" s="18"/>
    </row>
    <row r="519" spans="6:7" ht="15.75" customHeight="1" x14ac:dyDescent="0.3">
      <c r="F519" s="18"/>
      <c r="G519" s="18"/>
    </row>
    <row r="520" spans="6:7" ht="15.75" customHeight="1" x14ac:dyDescent="0.3">
      <c r="F520" s="18"/>
      <c r="G520" s="18"/>
    </row>
    <row r="521" spans="6:7" ht="15.75" customHeight="1" x14ac:dyDescent="0.3">
      <c r="F521" s="18"/>
      <c r="G521" s="18"/>
    </row>
    <row r="522" spans="6:7" ht="15.75" customHeight="1" x14ac:dyDescent="0.3">
      <c r="F522" s="18"/>
      <c r="G522" s="18"/>
    </row>
    <row r="523" spans="6:7" ht="15.75" customHeight="1" x14ac:dyDescent="0.3">
      <c r="F523" s="18"/>
      <c r="G523" s="18"/>
    </row>
    <row r="524" spans="6:7" ht="15.75" customHeight="1" x14ac:dyDescent="0.3">
      <c r="F524" s="18"/>
      <c r="G524" s="18"/>
    </row>
    <row r="525" spans="6:7" ht="15.75" customHeight="1" x14ac:dyDescent="0.3">
      <c r="F525" s="18"/>
      <c r="G525" s="18"/>
    </row>
    <row r="526" spans="6:7" ht="15.75" customHeight="1" x14ac:dyDescent="0.3">
      <c r="F526" s="18"/>
      <c r="G526" s="18"/>
    </row>
    <row r="527" spans="6:7" ht="15.75" customHeight="1" x14ac:dyDescent="0.3">
      <c r="F527" s="18"/>
      <c r="G527" s="18"/>
    </row>
    <row r="528" spans="6:7" ht="15.75" customHeight="1" x14ac:dyDescent="0.3">
      <c r="F528" s="18"/>
      <c r="G528" s="18"/>
    </row>
    <row r="529" spans="6:7" ht="15.75" customHeight="1" x14ac:dyDescent="0.3">
      <c r="F529" s="18"/>
      <c r="G529" s="18"/>
    </row>
    <row r="530" spans="6:7" ht="15.75" customHeight="1" x14ac:dyDescent="0.3">
      <c r="F530" s="18"/>
      <c r="G530" s="18"/>
    </row>
    <row r="531" spans="6:7" ht="15.75" customHeight="1" x14ac:dyDescent="0.3">
      <c r="F531" s="18"/>
      <c r="G531" s="18"/>
    </row>
    <row r="532" spans="6:7" ht="15.75" customHeight="1" x14ac:dyDescent="0.3">
      <c r="F532" s="18"/>
      <c r="G532" s="18"/>
    </row>
    <row r="533" spans="6:7" ht="15.75" customHeight="1" x14ac:dyDescent="0.3">
      <c r="F533" s="18"/>
      <c r="G533" s="18"/>
    </row>
    <row r="534" spans="6:7" ht="15.75" customHeight="1" x14ac:dyDescent="0.3">
      <c r="F534" s="18"/>
      <c r="G534" s="18"/>
    </row>
    <row r="535" spans="6:7" ht="15.75" customHeight="1" x14ac:dyDescent="0.3">
      <c r="F535" s="18"/>
      <c r="G535" s="18"/>
    </row>
    <row r="536" spans="6:7" ht="15.75" customHeight="1" x14ac:dyDescent="0.3">
      <c r="F536" s="18"/>
      <c r="G536" s="18"/>
    </row>
    <row r="537" spans="6:7" ht="15.75" customHeight="1" x14ac:dyDescent="0.3">
      <c r="F537" s="18"/>
      <c r="G537" s="18"/>
    </row>
    <row r="538" spans="6:7" ht="15.75" customHeight="1" x14ac:dyDescent="0.3">
      <c r="F538" s="18"/>
      <c r="G538" s="18"/>
    </row>
    <row r="539" spans="6:7" ht="15.75" customHeight="1" x14ac:dyDescent="0.3">
      <c r="F539" s="18"/>
      <c r="G539" s="18"/>
    </row>
    <row r="540" spans="6:7" ht="15.75" customHeight="1" x14ac:dyDescent="0.3">
      <c r="F540" s="18"/>
      <c r="G540" s="18"/>
    </row>
    <row r="541" spans="6:7" ht="15.75" customHeight="1" x14ac:dyDescent="0.3">
      <c r="F541" s="18"/>
      <c r="G541" s="18"/>
    </row>
    <row r="542" spans="6:7" ht="15.75" customHeight="1" x14ac:dyDescent="0.3">
      <c r="F542" s="18"/>
      <c r="G542" s="18"/>
    </row>
    <row r="543" spans="6:7" ht="15.75" customHeight="1" x14ac:dyDescent="0.3">
      <c r="F543" s="18"/>
      <c r="G543" s="18"/>
    </row>
    <row r="544" spans="6:7" ht="15.75" customHeight="1" x14ac:dyDescent="0.3">
      <c r="F544" s="18"/>
      <c r="G544" s="18"/>
    </row>
    <row r="545" spans="6:7" ht="15.75" customHeight="1" x14ac:dyDescent="0.3">
      <c r="F545" s="18"/>
      <c r="G545" s="18"/>
    </row>
    <row r="546" spans="6:7" ht="15.75" customHeight="1" x14ac:dyDescent="0.3">
      <c r="F546" s="18"/>
      <c r="G546" s="18"/>
    </row>
    <row r="547" spans="6:7" ht="15.75" customHeight="1" x14ac:dyDescent="0.3">
      <c r="F547" s="18"/>
      <c r="G547" s="18"/>
    </row>
    <row r="548" spans="6:7" ht="15.75" customHeight="1" x14ac:dyDescent="0.3">
      <c r="F548" s="18"/>
      <c r="G548" s="18"/>
    </row>
    <row r="549" spans="6:7" ht="15.75" customHeight="1" x14ac:dyDescent="0.3">
      <c r="F549" s="18"/>
      <c r="G549" s="18"/>
    </row>
    <row r="550" spans="6:7" ht="15.75" customHeight="1" x14ac:dyDescent="0.3">
      <c r="F550" s="18"/>
      <c r="G550" s="18"/>
    </row>
    <row r="551" spans="6:7" ht="15.75" customHeight="1" x14ac:dyDescent="0.3">
      <c r="F551" s="18"/>
      <c r="G551" s="18"/>
    </row>
    <row r="552" spans="6:7" ht="15.75" customHeight="1" x14ac:dyDescent="0.3">
      <c r="F552" s="18"/>
      <c r="G552" s="18"/>
    </row>
    <row r="553" spans="6:7" ht="15.75" customHeight="1" x14ac:dyDescent="0.3">
      <c r="F553" s="18"/>
      <c r="G553" s="18"/>
    </row>
    <row r="554" spans="6:7" ht="15.75" customHeight="1" x14ac:dyDescent="0.3">
      <c r="F554" s="18"/>
      <c r="G554" s="18"/>
    </row>
    <row r="555" spans="6:7" ht="15.75" customHeight="1" x14ac:dyDescent="0.3">
      <c r="F555" s="18"/>
      <c r="G555" s="18"/>
    </row>
    <row r="556" spans="6:7" ht="15.75" customHeight="1" x14ac:dyDescent="0.3">
      <c r="F556" s="18"/>
      <c r="G556" s="18"/>
    </row>
    <row r="557" spans="6:7" ht="15.75" customHeight="1" x14ac:dyDescent="0.3">
      <c r="F557" s="18"/>
      <c r="G557" s="18"/>
    </row>
    <row r="558" spans="6:7" ht="15.75" customHeight="1" x14ac:dyDescent="0.3">
      <c r="F558" s="18"/>
      <c r="G558" s="18"/>
    </row>
    <row r="559" spans="6:7" ht="15.75" customHeight="1" x14ac:dyDescent="0.3">
      <c r="F559" s="18"/>
      <c r="G559" s="18"/>
    </row>
    <row r="560" spans="6:7" ht="15.75" customHeight="1" x14ac:dyDescent="0.3">
      <c r="F560" s="18"/>
      <c r="G560" s="18"/>
    </row>
    <row r="561" spans="6:7" ht="15.75" customHeight="1" x14ac:dyDescent="0.3">
      <c r="F561" s="18"/>
      <c r="G561" s="18"/>
    </row>
    <row r="562" spans="6:7" ht="15.75" customHeight="1" x14ac:dyDescent="0.3">
      <c r="F562" s="18"/>
      <c r="G562" s="18"/>
    </row>
    <row r="563" spans="6:7" ht="15.75" customHeight="1" x14ac:dyDescent="0.3">
      <c r="F563" s="18"/>
      <c r="G563" s="18"/>
    </row>
    <row r="564" spans="6:7" ht="15.75" customHeight="1" x14ac:dyDescent="0.3">
      <c r="F564" s="18"/>
      <c r="G564" s="18"/>
    </row>
    <row r="565" spans="6:7" ht="15.75" customHeight="1" x14ac:dyDescent="0.3">
      <c r="F565" s="18"/>
      <c r="G565" s="18"/>
    </row>
    <row r="566" spans="6:7" ht="15.75" customHeight="1" x14ac:dyDescent="0.3">
      <c r="F566" s="18"/>
      <c r="G566" s="18"/>
    </row>
    <row r="567" spans="6:7" ht="15.75" customHeight="1" x14ac:dyDescent="0.3">
      <c r="F567" s="18"/>
      <c r="G567" s="18"/>
    </row>
    <row r="568" spans="6:7" ht="15.75" customHeight="1" x14ac:dyDescent="0.3">
      <c r="F568" s="18"/>
      <c r="G568" s="18"/>
    </row>
    <row r="569" spans="6:7" ht="15.75" customHeight="1" x14ac:dyDescent="0.3">
      <c r="F569" s="18"/>
      <c r="G569" s="18"/>
    </row>
    <row r="570" spans="6:7" ht="15.75" customHeight="1" x14ac:dyDescent="0.3">
      <c r="F570" s="18"/>
      <c r="G570" s="18"/>
    </row>
    <row r="571" spans="6:7" ht="15.75" customHeight="1" x14ac:dyDescent="0.3">
      <c r="F571" s="18"/>
      <c r="G571" s="18"/>
    </row>
    <row r="572" spans="6:7" ht="15.75" customHeight="1" x14ac:dyDescent="0.3">
      <c r="F572" s="18"/>
      <c r="G572" s="18"/>
    </row>
    <row r="573" spans="6:7" ht="15.75" customHeight="1" x14ac:dyDescent="0.3">
      <c r="F573" s="18"/>
      <c r="G573" s="18"/>
    </row>
    <row r="574" spans="6:7" ht="15.75" customHeight="1" x14ac:dyDescent="0.3">
      <c r="F574" s="18"/>
      <c r="G574" s="18"/>
    </row>
    <row r="575" spans="6:7" ht="15.75" customHeight="1" x14ac:dyDescent="0.3">
      <c r="F575" s="18"/>
      <c r="G575" s="18"/>
    </row>
    <row r="576" spans="6:7" ht="15.75" customHeight="1" x14ac:dyDescent="0.3">
      <c r="F576" s="18"/>
      <c r="G576" s="18"/>
    </row>
    <row r="577" spans="6:7" ht="15.75" customHeight="1" x14ac:dyDescent="0.3">
      <c r="F577" s="18"/>
      <c r="G577" s="18"/>
    </row>
    <row r="578" spans="6:7" ht="15.75" customHeight="1" x14ac:dyDescent="0.3">
      <c r="F578" s="18"/>
      <c r="G578" s="18"/>
    </row>
    <row r="579" spans="6:7" ht="15.75" customHeight="1" x14ac:dyDescent="0.3">
      <c r="F579" s="18"/>
      <c r="G579" s="18"/>
    </row>
    <row r="580" spans="6:7" ht="15.75" customHeight="1" x14ac:dyDescent="0.3">
      <c r="F580" s="18"/>
      <c r="G580" s="18"/>
    </row>
    <row r="581" spans="6:7" ht="15.75" customHeight="1" x14ac:dyDescent="0.3">
      <c r="F581" s="18"/>
      <c r="G581" s="18"/>
    </row>
    <row r="582" spans="6:7" ht="15.75" customHeight="1" x14ac:dyDescent="0.3">
      <c r="F582" s="18"/>
      <c r="G582" s="18"/>
    </row>
    <row r="583" spans="6:7" ht="15.75" customHeight="1" x14ac:dyDescent="0.3">
      <c r="F583" s="18"/>
      <c r="G583" s="18"/>
    </row>
    <row r="584" spans="6:7" ht="15.75" customHeight="1" x14ac:dyDescent="0.3">
      <c r="F584" s="18"/>
      <c r="G584" s="18"/>
    </row>
    <row r="585" spans="6:7" ht="15.75" customHeight="1" x14ac:dyDescent="0.3">
      <c r="F585" s="18"/>
      <c r="G585" s="18"/>
    </row>
    <row r="586" spans="6:7" ht="15.75" customHeight="1" x14ac:dyDescent="0.3">
      <c r="F586" s="18"/>
      <c r="G586" s="18"/>
    </row>
    <row r="587" spans="6:7" ht="15.75" customHeight="1" x14ac:dyDescent="0.3">
      <c r="F587" s="18"/>
      <c r="G587" s="18"/>
    </row>
    <row r="588" spans="6:7" ht="15.75" customHeight="1" x14ac:dyDescent="0.3">
      <c r="F588" s="18"/>
      <c r="G588" s="18"/>
    </row>
    <row r="589" spans="6:7" ht="15.75" customHeight="1" x14ac:dyDescent="0.3">
      <c r="F589" s="18"/>
      <c r="G589" s="18"/>
    </row>
    <row r="590" spans="6:7" ht="15.75" customHeight="1" x14ac:dyDescent="0.3">
      <c r="F590" s="18"/>
      <c r="G590" s="18"/>
    </row>
    <row r="591" spans="6:7" ht="15.75" customHeight="1" x14ac:dyDescent="0.3">
      <c r="F591" s="18"/>
      <c r="G591" s="18"/>
    </row>
    <row r="592" spans="6:7" ht="15.75" customHeight="1" x14ac:dyDescent="0.3">
      <c r="F592" s="18"/>
      <c r="G592" s="18"/>
    </row>
    <row r="593" spans="6:7" ht="15.75" customHeight="1" x14ac:dyDescent="0.3">
      <c r="F593" s="18"/>
      <c r="G593" s="18"/>
    </row>
    <row r="594" spans="6:7" ht="15.75" customHeight="1" x14ac:dyDescent="0.3">
      <c r="F594" s="18"/>
      <c r="G594" s="18"/>
    </row>
    <row r="595" spans="6:7" ht="15.75" customHeight="1" x14ac:dyDescent="0.3">
      <c r="F595" s="18"/>
      <c r="G595" s="18"/>
    </row>
    <row r="596" spans="6:7" ht="15.75" customHeight="1" x14ac:dyDescent="0.3">
      <c r="F596" s="18"/>
      <c r="G596" s="18"/>
    </row>
    <row r="597" spans="6:7" ht="15.75" customHeight="1" x14ac:dyDescent="0.3">
      <c r="F597" s="18"/>
      <c r="G597" s="18"/>
    </row>
    <row r="598" spans="6:7" ht="15.75" customHeight="1" x14ac:dyDescent="0.3">
      <c r="F598" s="18"/>
      <c r="G598" s="18"/>
    </row>
    <row r="599" spans="6:7" ht="15.75" customHeight="1" x14ac:dyDescent="0.3">
      <c r="F599" s="18"/>
      <c r="G599" s="18"/>
    </row>
    <row r="600" spans="6:7" ht="15.75" customHeight="1" x14ac:dyDescent="0.3">
      <c r="F600" s="18"/>
      <c r="G600" s="18"/>
    </row>
    <row r="601" spans="6:7" ht="15.75" customHeight="1" x14ac:dyDescent="0.3">
      <c r="F601" s="18"/>
      <c r="G601" s="18"/>
    </row>
    <row r="602" spans="6:7" ht="15.75" customHeight="1" x14ac:dyDescent="0.3">
      <c r="F602" s="18"/>
      <c r="G602" s="18"/>
    </row>
    <row r="603" spans="6:7" ht="15.75" customHeight="1" x14ac:dyDescent="0.3">
      <c r="F603" s="18"/>
      <c r="G603" s="18"/>
    </row>
    <row r="604" spans="6:7" ht="15.75" customHeight="1" x14ac:dyDescent="0.3">
      <c r="F604" s="18"/>
      <c r="G604" s="18"/>
    </row>
    <row r="605" spans="6:7" ht="15.75" customHeight="1" x14ac:dyDescent="0.3">
      <c r="F605" s="18"/>
      <c r="G605" s="18"/>
    </row>
    <row r="606" spans="6:7" ht="15.75" customHeight="1" x14ac:dyDescent="0.3">
      <c r="F606" s="18"/>
      <c r="G606" s="18"/>
    </row>
    <row r="607" spans="6:7" ht="15.75" customHeight="1" x14ac:dyDescent="0.3">
      <c r="F607" s="18"/>
      <c r="G607" s="18"/>
    </row>
    <row r="608" spans="6:7" ht="15.75" customHeight="1" x14ac:dyDescent="0.3">
      <c r="F608" s="18"/>
      <c r="G608" s="18"/>
    </row>
    <row r="609" spans="6:7" ht="15.75" customHeight="1" x14ac:dyDescent="0.3">
      <c r="F609" s="18"/>
      <c r="G609" s="18"/>
    </row>
    <row r="610" spans="6:7" ht="15.75" customHeight="1" x14ac:dyDescent="0.3">
      <c r="F610" s="18"/>
      <c r="G610" s="18"/>
    </row>
    <row r="611" spans="6:7" ht="15.75" customHeight="1" x14ac:dyDescent="0.3">
      <c r="F611" s="18"/>
      <c r="G611" s="18"/>
    </row>
    <row r="612" spans="6:7" ht="15.75" customHeight="1" x14ac:dyDescent="0.3">
      <c r="F612" s="18"/>
      <c r="G612" s="18"/>
    </row>
    <row r="613" spans="6:7" ht="15.75" customHeight="1" x14ac:dyDescent="0.3">
      <c r="F613" s="18"/>
      <c r="G613" s="18"/>
    </row>
    <row r="614" spans="6:7" ht="15.75" customHeight="1" x14ac:dyDescent="0.3">
      <c r="F614" s="18"/>
      <c r="G614" s="18"/>
    </row>
    <row r="615" spans="6:7" ht="15.75" customHeight="1" x14ac:dyDescent="0.3">
      <c r="F615" s="18"/>
      <c r="G615" s="18"/>
    </row>
    <row r="616" spans="6:7" ht="15.75" customHeight="1" x14ac:dyDescent="0.3">
      <c r="F616" s="18"/>
      <c r="G616" s="18"/>
    </row>
    <row r="617" spans="6:7" ht="15.75" customHeight="1" x14ac:dyDescent="0.3">
      <c r="F617" s="18"/>
      <c r="G617" s="18"/>
    </row>
    <row r="618" spans="6:7" ht="15.75" customHeight="1" x14ac:dyDescent="0.3">
      <c r="F618" s="18"/>
      <c r="G618" s="18"/>
    </row>
    <row r="619" spans="6:7" ht="15.75" customHeight="1" x14ac:dyDescent="0.3">
      <c r="F619" s="18"/>
      <c r="G619" s="18"/>
    </row>
    <row r="620" spans="6:7" ht="15.75" customHeight="1" x14ac:dyDescent="0.3">
      <c r="F620" s="18"/>
      <c r="G620" s="18"/>
    </row>
    <row r="621" spans="6:7" ht="15.75" customHeight="1" x14ac:dyDescent="0.3">
      <c r="F621" s="18"/>
      <c r="G621" s="18"/>
    </row>
    <row r="622" spans="6:7" ht="15.75" customHeight="1" x14ac:dyDescent="0.3">
      <c r="F622" s="18"/>
      <c r="G622" s="18"/>
    </row>
    <row r="623" spans="6:7" ht="15.75" customHeight="1" x14ac:dyDescent="0.3">
      <c r="F623" s="18"/>
      <c r="G623" s="18"/>
    </row>
    <row r="624" spans="6:7" ht="15.75" customHeight="1" x14ac:dyDescent="0.3">
      <c r="F624" s="18"/>
      <c r="G624" s="18"/>
    </row>
    <row r="625" spans="6:7" ht="15.75" customHeight="1" x14ac:dyDescent="0.3">
      <c r="F625" s="18"/>
      <c r="G625" s="18"/>
    </row>
    <row r="626" spans="6:7" ht="15.75" customHeight="1" x14ac:dyDescent="0.3">
      <c r="F626" s="18"/>
      <c r="G626" s="18"/>
    </row>
    <row r="627" spans="6:7" ht="15.75" customHeight="1" x14ac:dyDescent="0.3">
      <c r="F627" s="18"/>
      <c r="G627" s="18"/>
    </row>
    <row r="628" spans="6:7" ht="15.75" customHeight="1" x14ac:dyDescent="0.3">
      <c r="F628" s="18"/>
      <c r="G628" s="18"/>
    </row>
    <row r="629" spans="6:7" ht="15.75" customHeight="1" x14ac:dyDescent="0.3">
      <c r="F629" s="18"/>
      <c r="G629" s="18"/>
    </row>
    <row r="630" spans="6:7" ht="15.75" customHeight="1" x14ac:dyDescent="0.3">
      <c r="F630" s="18"/>
      <c r="G630" s="18"/>
    </row>
    <row r="631" spans="6:7" ht="15.75" customHeight="1" x14ac:dyDescent="0.3">
      <c r="F631" s="18"/>
      <c r="G631" s="18"/>
    </row>
    <row r="632" spans="6:7" ht="15.75" customHeight="1" x14ac:dyDescent="0.3">
      <c r="F632" s="18"/>
      <c r="G632" s="18"/>
    </row>
    <row r="633" spans="6:7" ht="15.75" customHeight="1" x14ac:dyDescent="0.3">
      <c r="F633" s="18"/>
      <c r="G633" s="18"/>
    </row>
    <row r="634" spans="6:7" ht="15.75" customHeight="1" x14ac:dyDescent="0.3">
      <c r="F634" s="18"/>
      <c r="G634" s="18"/>
    </row>
    <row r="635" spans="6:7" ht="15.75" customHeight="1" x14ac:dyDescent="0.3">
      <c r="F635" s="18"/>
      <c r="G635" s="18"/>
    </row>
    <row r="636" spans="6:7" ht="15.75" customHeight="1" x14ac:dyDescent="0.3">
      <c r="F636" s="18"/>
      <c r="G636" s="18"/>
    </row>
    <row r="637" spans="6:7" ht="15.75" customHeight="1" x14ac:dyDescent="0.3">
      <c r="F637" s="18"/>
      <c r="G637" s="18"/>
    </row>
    <row r="638" spans="6:7" ht="15.75" customHeight="1" x14ac:dyDescent="0.3">
      <c r="F638" s="18"/>
      <c r="G638" s="18"/>
    </row>
    <row r="639" spans="6:7" ht="15.75" customHeight="1" x14ac:dyDescent="0.3">
      <c r="F639" s="18"/>
      <c r="G639" s="18"/>
    </row>
    <row r="640" spans="6:7" ht="15.75" customHeight="1" x14ac:dyDescent="0.3">
      <c r="F640" s="18"/>
      <c r="G640" s="18"/>
    </row>
    <row r="641" spans="6:7" ht="15.75" customHeight="1" x14ac:dyDescent="0.3">
      <c r="F641" s="18"/>
      <c r="G641" s="18"/>
    </row>
    <row r="642" spans="6:7" ht="15.75" customHeight="1" x14ac:dyDescent="0.3">
      <c r="F642" s="18"/>
      <c r="G642" s="18"/>
    </row>
    <row r="643" spans="6:7" ht="15.75" customHeight="1" x14ac:dyDescent="0.3">
      <c r="F643" s="18"/>
      <c r="G643" s="18"/>
    </row>
    <row r="644" spans="6:7" ht="15.75" customHeight="1" x14ac:dyDescent="0.3">
      <c r="F644" s="18"/>
      <c r="G644" s="18"/>
    </row>
    <row r="645" spans="6:7" ht="15.75" customHeight="1" x14ac:dyDescent="0.3">
      <c r="F645" s="18"/>
      <c r="G645" s="18"/>
    </row>
    <row r="646" spans="6:7" ht="15.75" customHeight="1" x14ac:dyDescent="0.3">
      <c r="F646" s="18"/>
      <c r="G646" s="18"/>
    </row>
    <row r="647" spans="6:7" ht="15.75" customHeight="1" x14ac:dyDescent="0.3">
      <c r="F647" s="18"/>
      <c r="G647" s="18"/>
    </row>
    <row r="648" spans="6:7" ht="15.75" customHeight="1" x14ac:dyDescent="0.3">
      <c r="F648" s="18"/>
      <c r="G648" s="18"/>
    </row>
    <row r="649" spans="6:7" ht="15.75" customHeight="1" x14ac:dyDescent="0.3">
      <c r="F649" s="18"/>
      <c r="G649" s="18"/>
    </row>
    <row r="650" spans="6:7" ht="15.75" customHeight="1" x14ac:dyDescent="0.3">
      <c r="F650" s="18"/>
      <c r="G650" s="18"/>
    </row>
    <row r="651" spans="6:7" ht="15.75" customHeight="1" x14ac:dyDescent="0.3">
      <c r="F651" s="18"/>
      <c r="G651" s="18"/>
    </row>
    <row r="652" spans="6:7" ht="15.75" customHeight="1" x14ac:dyDescent="0.3">
      <c r="F652" s="18"/>
      <c r="G652" s="18"/>
    </row>
    <row r="653" spans="6:7" ht="15.75" customHeight="1" x14ac:dyDescent="0.3">
      <c r="F653" s="18"/>
      <c r="G653" s="18"/>
    </row>
    <row r="654" spans="6:7" ht="15.75" customHeight="1" x14ac:dyDescent="0.3">
      <c r="F654" s="18"/>
      <c r="G654" s="18"/>
    </row>
    <row r="655" spans="6:7" ht="15.75" customHeight="1" x14ac:dyDescent="0.3">
      <c r="F655" s="18"/>
      <c r="G655" s="18"/>
    </row>
    <row r="656" spans="6:7" ht="15.75" customHeight="1" x14ac:dyDescent="0.3">
      <c r="F656" s="18"/>
      <c r="G656" s="18"/>
    </row>
    <row r="657" spans="6:7" ht="15.75" customHeight="1" x14ac:dyDescent="0.3">
      <c r="F657" s="18"/>
      <c r="G657" s="18"/>
    </row>
    <row r="658" spans="6:7" ht="15.75" customHeight="1" x14ac:dyDescent="0.3">
      <c r="F658" s="18"/>
      <c r="G658" s="18"/>
    </row>
    <row r="659" spans="6:7" ht="15.75" customHeight="1" x14ac:dyDescent="0.3">
      <c r="F659" s="18"/>
      <c r="G659" s="18"/>
    </row>
    <row r="660" spans="6:7" ht="15.75" customHeight="1" x14ac:dyDescent="0.3">
      <c r="F660" s="18"/>
      <c r="G660" s="18"/>
    </row>
    <row r="661" spans="6:7" ht="15.75" customHeight="1" x14ac:dyDescent="0.3">
      <c r="F661" s="18"/>
      <c r="G661" s="18"/>
    </row>
    <row r="662" spans="6:7" ht="15.75" customHeight="1" x14ac:dyDescent="0.3">
      <c r="F662" s="18"/>
      <c r="G662" s="18"/>
    </row>
    <row r="663" spans="6:7" ht="15.75" customHeight="1" x14ac:dyDescent="0.3">
      <c r="F663" s="18"/>
      <c r="G663" s="18"/>
    </row>
    <row r="664" spans="6:7" ht="15.75" customHeight="1" x14ac:dyDescent="0.3">
      <c r="F664" s="18"/>
      <c r="G664" s="18"/>
    </row>
    <row r="665" spans="6:7" ht="15.75" customHeight="1" x14ac:dyDescent="0.3">
      <c r="F665" s="18"/>
      <c r="G665" s="18"/>
    </row>
    <row r="666" spans="6:7" ht="15.75" customHeight="1" x14ac:dyDescent="0.3">
      <c r="F666" s="18"/>
      <c r="G666" s="18"/>
    </row>
    <row r="667" spans="6:7" ht="15.75" customHeight="1" x14ac:dyDescent="0.3">
      <c r="F667" s="18"/>
      <c r="G667" s="18"/>
    </row>
    <row r="668" spans="6:7" ht="15.75" customHeight="1" x14ac:dyDescent="0.3">
      <c r="F668" s="18"/>
      <c r="G668" s="18"/>
    </row>
    <row r="669" spans="6:7" ht="15.75" customHeight="1" x14ac:dyDescent="0.3">
      <c r="F669" s="18"/>
      <c r="G669" s="18"/>
    </row>
    <row r="670" spans="6:7" ht="15.75" customHeight="1" x14ac:dyDescent="0.3">
      <c r="F670" s="18"/>
      <c r="G670" s="18"/>
    </row>
    <row r="671" spans="6:7" ht="15.75" customHeight="1" x14ac:dyDescent="0.3">
      <c r="F671" s="18"/>
      <c r="G671" s="18"/>
    </row>
    <row r="672" spans="6:7" ht="15.75" customHeight="1" x14ac:dyDescent="0.3">
      <c r="F672" s="18"/>
      <c r="G672" s="18"/>
    </row>
    <row r="673" spans="6:7" ht="15.75" customHeight="1" x14ac:dyDescent="0.3">
      <c r="F673" s="18"/>
      <c r="G673" s="18"/>
    </row>
    <row r="674" spans="6:7" ht="15.75" customHeight="1" x14ac:dyDescent="0.3">
      <c r="F674" s="18"/>
      <c r="G674" s="18"/>
    </row>
    <row r="675" spans="6:7" ht="15.75" customHeight="1" x14ac:dyDescent="0.3">
      <c r="F675" s="18"/>
      <c r="G675" s="18"/>
    </row>
    <row r="676" spans="6:7" ht="15.75" customHeight="1" x14ac:dyDescent="0.3">
      <c r="F676" s="18"/>
      <c r="G676" s="18"/>
    </row>
    <row r="677" spans="6:7" ht="15.75" customHeight="1" x14ac:dyDescent="0.3">
      <c r="F677" s="18"/>
      <c r="G677" s="18"/>
    </row>
    <row r="678" spans="6:7" ht="15.75" customHeight="1" x14ac:dyDescent="0.3">
      <c r="F678" s="18"/>
      <c r="G678" s="18"/>
    </row>
    <row r="679" spans="6:7" ht="15.75" customHeight="1" x14ac:dyDescent="0.3">
      <c r="F679" s="18"/>
      <c r="G679" s="18"/>
    </row>
    <row r="680" spans="6:7" ht="15.75" customHeight="1" x14ac:dyDescent="0.3">
      <c r="F680" s="18"/>
      <c r="G680" s="18"/>
    </row>
    <row r="681" spans="6:7" ht="15.75" customHeight="1" x14ac:dyDescent="0.3">
      <c r="F681" s="18"/>
      <c r="G681" s="18"/>
    </row>
    <row r="682" spans="6:7" ht="15.75" customHeight="1" x14ac:dyDescent="0.3">
      <c r="F682" s="18"/>
      <c r="G682" s="18"/>
    </row>
    <row r="683" spans="6:7" ht="15.75" customHeight="1" x14ac:dyDescent="0.3">
      <c r="F683" s="18"/>
      <c r="G683" s="18"/>
    </row>
    <row r="684" spans="6:7" ht="15.75" customHeight="1" x14ac:dyDescent="0.3">
      <c r="F684" s="18"/>
      <c r="G684" s="18"/>
    </row>
    <row r="685" spans="6:7" ht="15.75" customHeight="1" x14ac:dyDescent="0.3">
      <c r="F685" s="18"/>
      <c r="G685" s="18"/>
    </row>
    <row r="686" spans="6:7" ht="15.75" customHeight="1" x14ac:dyDescent="0.3">
      <c r="F686" s="18"/>
      <c r="G686" s="18"/>
    </row>
    <row r="687" spans="6:7" ht="15.75" customHeight="1" x14ac:dyDescent="0.3">
      <c r="F687" s="18"/>
      <c r="G687" s="18"/>
    </row>
    <row r="688" spans="6:7" ht="15.75" customHeight="1" x14ac:dyDescent="0.3">
      <c r="F688" s="18"/>
      <c r="G688" s="18"/>
    </row>
    <row r="689" spans="6:7" ht="15.75" customHeight="1" x14ac:dyDescent="0.3">
      <c r="F689" s="18"/>
      <c r="G689" s="18"/>
    </row>
    <row r="690" spans="6:7" ht="15.75" customHeight="1" x14ac:dyDescent="0.3">
      <c r="F690" s="18"/>
      <c r="G690" s="18"/>
    </row>
    <row r="691" spans="6:7" ht="15.75" customHeight="1" x14ac:dyDescent="0.3">
      <c r="F691" s="18"/>
      <c r="G691" s="18"/>
    </row>
    <row r="692" spans="6:7" ht="15.75" customHeight="1" x14ac:dyDescent="0.3">
      <c r="F692" s="18"/>
      <c r="G692" s="18"/>
    </row>
    <row r="693" spans="6:7" ht="15.75" customHeight="1" x14ac:dyDescent="0.3">
      <c r="F693" s="18"/>
      <c r="G693" s="18"/>
    </row>
    <row r="694" spans="6:7" ht="15.75" customHeight="1" x14ac:dyDescent="0.3">
      <c r="F694" s="18"/>
      <c r="G694" s="18"/>
    </row>
    <row r="695" spans="6:7" ht="15.75" customHeight="1" x14ac:dyDescent="0.3">
      <c r="F695" s="18"/>
      <c r="G695" s="18"/>
    </row>
    <row r="696" spans="6:7" ht="15.75" customHeight="1" x14ac:dyDescent="0.3">
      <c r="F696" s="18"/>
      <c r="G696" s="18"/>
    </row>
    <row r="697" spans="6:7" ht="15.75" customHeight="1" x14ac:dyDescent="0.3">
      <c r="F697" s="18"/>
      <c r="G697" s="18"/>
    </row>
    <row r="698" spans="6:7" ht="15.75" customHeight="1" x14ac:dyDescent="0.3">
      <c r="F698" s="18"/>
      <c r="G698" s="18"/>
    </row>
    <row r="699" spans="6:7" ht="15.75" customHeight="1" x14ac:dyDescent="0.3">
      <c r="F699" s="18"/>
      <c r="G699" s="18"/>
    </row>
    <row r="700" spans="6:7" ht="15.75" customHeight="1" x14ac:dyDescent="0.3">
      <c r="F700" s="18"/>
      <c r="G700" s="18"/>
    </row>
    <row r="701" spans="6:7" ht="15.75" customHeight="1" x14ac:dyDescent="0.3">
      <c r="F701" s="18"/>
      <c r="G701" s="18"/>
    </row>
    <row r="702" spans="6:7" ht="15.75" customHeight="1" x14ac:dyDescent="0.3">
      <c r="F702" s="18"/>
      <c r="G702" s="18"/>
    </row>
    <row r="703" spans="6:7" ht="15.75" customHeight="1" x14ac:dyDescent="0.3">
      <c r="F703" s="18"/>
      <c r="G703" s="18"/>
    </row>
    <row r="704" spans="6:7" ht="15.75" customHeight="1" x14ac:dyDescent="0.3">
      <c r="F704" s="18"/>
      <c r="G704" s="18"/>
    </row>
    <row r="705" spans="6:7" ht="15.75" customHeight="1" x14ac:dyDescent="0.3">
      <c r="F705" s="18"/>
      <c r="G705" s="18"/>
    </row>
    <row r="706" spans="6:7" ht="15.75" customHeight="1" x14ac:dyDescent="0.3">
      <c r="F706" s="18"/>
      <c r="G706" s="18"/>
    </row>
    <row r="707" spans="6:7" ht="15.75" customHeight="1" x14ac:dyDescent="0.3">
      <c r="F707" s="18"/>
      <c r="G707" s="18"/>
    </row>
    <row r="708" spans="6:7" ht="15.75" customHeight="1" x14ac:dyDescent="0.3">
      <c r="F708" s="18"/>
      <c r="G708" s="18"/>
    </row>
    <row r="709" spans="6:7" ht="15.75" customHeight="1" x14ac:dyDescent="0.3">
      <c r="F709" s="18"/>
      <c r="G709" s="18"/>
    </row>
    <row r="710" spans="6:7" ht="15.75" customHeight="1" x14ac:dyDescent="0.3">
      <c r="F710" s="18"/>
      <c r="G710" s="18"/>
    </row>
    <row r="711" spans="6:7" ht="15.75" customHeight="1" x14ac:dyDescent="0.3">
      <c r="F711" s="18"/>
      <c r="G711" s="18"/>
    </row>
    <row r="712" spans="6:7" ht="15.75" customHeight="1" x14ac:dyDescent="0.3">
      <c r="F712" s="18"/>
      <c r="G712" s="18"/>
    </row>
    <row r="713" spans="6:7" ht="15.75" customHeight="1" x14ac:dyDescent="0.3">
      <c r="F713" s="18"/>
      <c r="G713" s="18"/>
    </row>
    <row r="714" spans="6:7" ht="15.75" customHeight="1" x14ac:dyDescent="0.3">
      <c r="F714" s="18"/>
      <c r="G714" s="18"/>
    </row>
    <row r="715" spans="6:7" ht="15.75" customHeight="1" x14ac:dyDescent="0.3">
      <c r="F715" s="18"/>
      <c r="G715" s="18"/>
    </row>
    <row r="716" spans="6:7" ht="15.75" customHeight="1" x14ac:dyDescent="0.3">
      <c r="F716" s="18"/>
      <c r="G716" s="18"/>
    </row>
    <row r="717" spans="6:7" ht="15.75" customHeight="1" x14ac:dyDescent="0.3">
      <c r="F717" s="18"/>
      <c r="G717" s="18"/>
    </row>
    <row r="718" spans="6:7" ht="15.75" customHeight="1" x14ac:dyDescent="0.3">
      <c r="F718" s="18"/>
      <c r="G718" s="18"/>
    </row>
    <row r="719" spans="6:7" ht="15.75" customHeight="1" x14ac:dyDescent="0.3">
      <c r="F719" s="18"/>
      <c r="G719" s="18"/>
    </row>
    <row r="720" spans="6:7" ht="15.75" customHeight="1" x14ac:dyDescent="0.3">
      <c r="F720" s="18"/>
      <c r="G720" s="18"/>
    </row>
    <row r="721" spans="6:7" ht="15.75" customHeight="1" x14ac:dyDescent="0.3">
      <c r="F721" s="18"/>
      <c r="G721" s="18"/>
    </row>
    <row r="722" spans="6:7" ht="15.75" customHeight="1" x14ac:dyDescent="0.3">
      <c r="F722" s="18"/>
      <c r="G722" s="18"/>
    </row>
    <row r="723" spans="6:7" ht="15.75" customHeight="1" x14ac:dyDescent="0.3">
      <c r="F723" s="18"/>
      <c r="G723" s="18"/>
    </row>
    <row r="724" spans="6:7" ht="15.75" customHeight="1" x14ac:dyDescent="0.3">
      <c r="F724" s="18"/>
      <c r="G724" s="18"/>
    </row>
    <row r="725" spans="6:7" ht="15.75" customHeight="1" x14ac:dyDescent="0.3">
      <c r="F725" s="18"/>
      <c r="G725" s="18"/>
    </row>
    <row r="726" spans="6:7" ht="15.75" customHeight="1" x14ac:dyDescent="0.3">
      <c r="F726" s="18"/>
      <c r="G726" s="18"/>
    </row>
    <row r="727" spans="6:7" ht="15.75" customHeight="1" x14ac:dyDescent="0.3">
      <c r="F727" s="18"/>
      <c r="G727" s="18"/>
    </row>
    <row r="728" spans="6:7" ht="15.75" customHeight="1" x14ac:dyDescent="0.3">
      <c r="F728" s="18"/>
      <c r="G728" s="18"/>
    </row>
    <row r="729" spans="6:7" ht="15.75" customHeight="1" x14ac:dyDescent="0.3">
      <c r="F729" s="18"/>
      <c r="G729" s="18"/>
    </row>
    <row r="730" spans="6:7" ht="15.75" customHeight="1" x14ac:dyDescent="0.3">
      <c r="F730" s="18"/>
      <c r="G730" s="18"/>
    </row>
    <row r="731" spans="6:7" ht="15.75" customHeight="1" x14ac:dyDescent="0.3">
      <c r="F731" s="18"/>
      <c r="G731" s="18"/>
    </row>
    <row r="732" spans="6:7" ht="15.75" customHeight="1" x14ac:dyDescent="0.3">
      <c r="F732" s="18"/>
      <c r="G732" s="18"/>
    </row>
    <row r="733" spans="6:7" ht="15.75" customHeight="1" x14ac:dyDescent="0.3">
      <c r="F733" s="18"/>
      <c r="G733" s="18"/>
    </row>
    <row r="734" spans="6:7" ht="15.75" customHeight="1" x14ac:dyDescent="0.3">
      <c r="F734" s="18"/>
      <c r="G734" s="18"/>
    </row>
    <row r="735" spans="6:7" ht="15.75" customHeight="1" x14ac:dyDescent="0.3">
      <c r="F735" s="18"/>
      <c r="G735" s="18"/>
    </row>
    <row r="736" spans="6:7" ht="15.75" customHeight="1" x14ac:dyDescent="0.3">
      <c r="F736" s="18"/>
      <c r="G736" s="18"/>
    </row>
    <row r="737" spans="6:7" ht="15.75" customHeight="1" x14ac:dyDescent="0.3">
      <c r="F737" s="18"/>
      <c r="G737" s="18"/>
    </row>
    <row r="738" spans="6:7" ht="15.75" customHeight="1" x14ac:dyDescent="0.3">
      <c r="F738" s="18"/>
      <c r="G738" s="18"/>
    </row>
    <row r="739" spans="6:7" ht="15.75" customHeight="1" x14ac:dyDescent="0.3">
      <c r="F739" s="18"/>
      <c r="G739" s="18"/>
    </row>
    <row r="740" spans="6:7" ht="15.75" customHeight="1" x14ac:dyDescent="0.3">
      <c r="F740" s="18"/>
      <c r="G740" s="18"/>
    </row>
    <row r="741" spans="6:7" ht="15.75" customHeight="1" x14ac:dyDescent="0.3">
      <c r="F741" s="18"/>
      <c r="G741" s="18"/>
    </row>
    <row r="742" spans="6:7" ht="15.75" customHeight="1" x14ac:dyDescent="0.3">
      <c r="F742" s="18"/>
      <c r="G742" s="18"/>
    </row>
    <row r="743" spans="6:7" ht="15.75" customHeight="1" x14ac:dyDescent="0.3">
      <c r="F743" s="18"/>
      <c r="G743" s="18"/>
    </row>
    <row r="744" spans="6:7" ht="15.75" customHeight="1" x14ac:dyDescent="0.3">
      <c r="F744" s="18"/>
      <c r="G744" s="18"/>
    </row>
    <row r="745" spans="6:7" ht="15.75" customHeight="1" x14ac:dyDescent="0.3">
      <c r="F745" s="18"/>
      <c r="G745" s="18"/>
    </row>
    <row r="746" spans="6:7" ht="15.75" customHeight="1" x14ac:dyDescent="0.3">
      <c r="F746" s="18"/>
      <c r="G746" s="18"/>
    </row>
    <row r="747" spans="6:7" ht="15.75" customHeight="1" x14ac:dyDescent="0.3">
      <c r="F747" s="18"/>
      <c r="G747" s="18"/>
    </row>
    <row r="748" spans="6:7" ht="15.75" customHeight="1" x14ac:dyDescent="0.3">
      <c r="F748" s="18"/>
      <c r="G748" s="18"/>
    </row>
    <row r="749" spans="6:7" ht="15.75" customHeight="1" x14ac:dyDescent="0.3">
      <c r="F749" s="18"/>
      <c r="G749" s="18"/>
    </row>
    <row r="750" spans="6:7" ht="15.75" customHeight="1" x14ac:dyDescent="0.3">
      <c r="F750" s="18"/>
      <c r="G750" s="18"/>
    </row>
    <row r="751" spans="6:7" ht="15.75" customHeight="1" x14ac:dyDescent="0.3">
      <c r="F751" s="18"/>
      <c r="G751" s="18"/>
    </row>
    <row r="752" spans="6:7" ht="15.75" customHeight="1" x14ac:dyDescent="0.3">
      <c r="F752" s="18"/>
      <c r="G752" s="18"/>
    </row>
    <row r="753" spans="6:7" ht="15.75" customHeight="1" x14ac:dyDescent="0.3">
      <c r="F753" s="18"/>
      <c r="G753" s="18"/>
    </row>
    <row r="754" spans="6:7" ht="15.75" customHeight="1" x14ac:dyDescent="0.3">
      <c r="F754" s="18"/>
      <c r="G754" s="18"/>
    </row>
    <row r="755" spans="6:7" ht="15.75" customHeight="1" x14ac:dyDescent="0.3">
      <c r="F755" s="18"/>
      <c r="G755" s="18"/>
    </row>
    <row r="756" spans="6:7" ht="15.75" customHeight="1" x14ac:dyDescent="0.3">
      <c r="F756" s="18"/>
      <c r="G756" s="18"/>
    </row>
    <row r="757" spans="6:7" ht="15.75" customHeight="1" x14ac:dyDescent="0.3">
      <c r="F757" s="18"/>
      <c r="G757" s="18"/>
    </row>
    <row r="758" spans="6:7" ht="15.75" customHeight="1" x14ac:dyDescent="0.3">
      <c r="F758" s="18"/>
      <c r="G758" s="18"/>
    </row>
    <row r="759" spans="6:7" ht="15.75" customHeight="1" x14ac:dyDescent="0.3">
      <c r="F759" s="18"/>
      <c r="G759" s="18"/>
    </row>
    <row r="760" spans="6:7" ht="15.75" customHeight="1" x14ac:dyDescent="0.3">
      <c r="F760" s="18"/>
      <c r="G760" s="18"/>
    </row>
    <row r="761" spans="6:7" ht="15.75" customHeight="1" x14ac:dyDescent="0.3">
      <c r="F761" s="18"/>
      <c r="G761" s="18"/>
    </row>
    <row r="762" spans="6:7" ht="15.75" customHeight="1" x14ac:dyDescent="0.3">
      <c r="F762" s="18"/>
      <c r="G762" s="18"/>
    </row>
    <row r="763" spans="6:7" ht="15.75" customHeight="1" x14ac:dyDescent="0.3">
      <c r="F763" s="18"/>
      <c r="G763" s="18"/>
    </row>
    <row r="764" spans="6:7" ht="15.75" customHeight="1" x14ac:dyDescent="0.3">
      <c r="F764" s="18"/>
      <c r="G764" s="18"/>
    </row>
    <row r="765" spans="6:7" ht="15.75" customHeight="1" x14ac:dyDescent="0.3">
      <c r="F765" s="18"/>
      <c r="G765" s="18"/>
    </row>
    <row r="766" spans="6:7" ht="15.75" customHeight="1" x14ac:dyDescent="0.3">
      <c r="F766" s="18"/>
      <c r="G766" s="18"/>
    </row>
    <row r="767" spans="6:7" ht="15.75" customHeight="1" x14ac:dyDescent="0.3">
      <c r="F767" s="18"/>
      <c r="G767" s="18"/>
    </row>
    <row r="768" spans="6:7" ht="15.75" customHeight="1" x14ac:dyDescent="0.3">
      <c r="F768" s="18"/>
      <c r="G768" s="18"/>
    </row>
    <row r="769" spans="6:7" ht="15.75" customHeight="1" x14ac:dyDescent="0.3">
      <c r="F769" s="18"/>
      <c r="G769" s="18"/>
    </row>
    <row r="770" spans="6:7" ht="15.75" customHeight="1" x14ac:dyDescent="0.3">
      <c r="F770" s="18"/>
      <c r="G770" s="18"/>
    </row>
    <row r="771" spans="6:7" ht="15.75" customHeight="1" x14ac:dyDescent="0.3">
      <c r="F771" s="18"/>
      <c r="G771" s="18"/>
    </row>
    <row r="772" spans="6:7" ht="15.75" customHeight="1" x14ac:dyDescent="0.3">
      <c r="F772" s="18"/>
      <c r="G772" s="18"/>
    </row>
    <row r="773" spans="6:7" ht="15.75" customHeight="1" x14ac:dyDescent="0.3">
      <c r="F773" s="18"/>
      <c r="G773" s="18"/>
    </row>
    <row r="774" spans="6:7" ht="15.75" customHeight="1" x14ac:dyDescent="0.3">
      <c r="F774" s="18"/>
      <c r="G774" s="18"/>
    </row>
    <row r="775" spans="6:7" ht="15.75" customHeight="1" x14ac:dyDescent="0.3">
      <c r="F775" s="18"/>
      <c r="G775" s="18"/>
    </row>
    <row r="776" spans="6:7" ht="15.75" customHeight="1" x14ac:dyDescent="0.3">
      <c r="F776" s="18"/>
      <c r="G776" s="18"/>
    </row>
    <row r="777" spans="6:7" ht="15.75" customHeight="1" x14ac:dyDescent="0.3">
      <c r="F777" s="18"/>
      <c r="G777" s="18"/>
    </row>
    <row r="778" spans="6:7" ht="15.75" customHeight="1" x14ac:dyDescent="0.3">
      <c r="F778" s="18"/>
      <c r="G778" s="18"/>
    </row>
    <row r="779" spans="6:7" ht="15.75" customHeight="1" x14ac:dyDescent="0.3">
      <c r="F779" s="18"/>
      <c r="G779" s="18"/>
    </row>
    <row r="780" spans="6:7" ht="15.75" customHeight="1" x14ac:dyDescent="0.3">
      <c r="F780" s="18"/>
      <c r="G780" s="18"/>
    </row>
    <row r="781" spans="6:7" ht="15.75" customHeight="1" x14ac:dyDescent="0.3">
      <c r="F781" s="18"/>
      <c r="G781" s="18"/>
    </row>
    <row r="782" spans="6:7" ht="15.75" customHeight="1" x14ac:dyDescent="0.3">
      <c r="F782" s="18"/>
      <c r="G782" s="18"/>
    </row>
    <row r="783" spans="6:7" ht="15.75" customHeight="1" x14ac:dyDescent="0.3">
      <c r="F783" s="18"/>
      <c r="G783" s="18"/>
    </row>
    <row r="784" spans="6:7" ht="15.75" customHeight="1" x14ac:dyDescent="0.3">
      <c r="F784" s="18"/>
      <c r="G784" s="18"/>
    </row>
    <row r="785" spans="6:7" ht="15.75" customHeight="1" x14ac:dyDescent="0.3">
      <c r="F785" s="18"/>
      <c r="G785" s="18"/>
    </row>
    <row r="786" spans="6:7" ht="15.75" customHeight="1" x14ac:dyDescent="0.3">
      <c r="F786" s="18"/>
      <c r="G786" s="18"/>
    </row>
    <row r="787" spans="6:7" ht="15.75" customHeight="1" x14ac:dyDescent="0.3">
      <c r="F787" s="18"/>
      <c r="G787" s="18"/>
    </row>
    <row r="788" spans="6:7" ht="15.75" customHeight="1" x14ac:dyDescent="0.3">
      <c r="F788" s="18"/>
      <c r="G788" s="18"/>
    </row>
    <row r="789" spans="6:7" ht="15.75" customHeight="1" x14ac:dyDescent="0.3">
      <c r="F789" s="18"/>
      <c r="G789" s="18"/>
    </row>
    <row r="790" spans="6:7" ht="15.75" customHeight="1" x14ac:dyDescent="0.3">
      <c r="F790" s="18"/>
      <c r="G790" s="18"/>
    </row>
    <row r="791" spans="6:7" ht="15.75" customHeight="1" x14ac:dyDescent="0.3">
      <c r="F791" s="18"/>
      <c r="G791" s="18"/>
    </row>
    <row r="792" spans="6:7" ht="15.75" customHeight="1" x14ac:dyDescent="0.3">
      <c r="F792" s="18"/>
      <c r="G792" s="18"/>
    </row>
    <row r="793" spans="6:7" ht="15.75" customHeight="1" x14ac:dyDescent="0.3">
      <c r="F793" s="18"/>
      <c r="G793" s="18"/>
    </row>
    <row r="794" spans="6:7" ht="15.75" customHeight="1" x14ac:dyDescent="0.3">
      <c r="F794" s="18"/>
      <c r="G794" s="18"/>
    </row>
    <row r="795" spans="6:7" ht="15.75" customHeight="1" x14ac:dyDescent="0.3">
      <c r="F795" s="18"/>
      <c r="G795" s="18"/>
    </row>
    <row r="796" spans="6:7" ht="15.75" customHeight="1" x14ac:dyDescent="0.3">
      <c r="F796" s="18"/>
      <c r="G796" s="18"/>
    </row>
    <row r="797" spans="6:7" ht="15.75" customHeight="1" x14ac:dyDescent="0.3">
      <c r="F797" s="18"/>
      <c r="G797" s="18"/>
    </row>
    <row r="798" spans="6:7" ht="15.75" customHeight="1" x14ac:dyDescent="0.3">
      <c r="F798" s="18"/>
      <c r="G798" s="18"/>
    </row>
    <row r="799" spans="6:7" ht="15.75" customHeight="1" x14ac:dyDescent="0.3">
      <c r="F799" s="18"/>
      <c r="G799" s="18"/>
    </row>
    <row r="800" spans="6:7" ht="15.75" customHeight="1" x14ac:dyDescent="0.3">
      <c r="F800" s="18"/>
      <c r="G800" s="18"/>
    </row>
    <row r="801" spans="6:7" ht="15.75" customHeight="1" x14ac:dyDescent="0.3">
      <c r="F801" s="18"/>
      <c r="G801" s="18"/>
    </row>
    <row r="802" spans="6:7" ht="15.75" customHeight="1" x14ac:dyDescent="0.3">
      <c r="F802" s="18"/>
      <c r="G802" s="18"/>
    </row>
    <row r="803" spans="6:7" ht="15.75" customHeight="1" x14ac:dyDescent="0.3">
      <c r="F803" s="18"/>
      <c r="G803" s="18"/>
    </row>
    <row r="804" spans="6:7" ht="15.75" customHeight="1" x14ac:dyDescent="0.3">
      <c r="F804" s="18"/>
      <c r="G804" s="18"/>
    </row>
    <row r="805" spans="6:7" ht="15.75" customHeight="1" x14ac:dyDescent="0.3">
      <c r="F805" s="18"/>
      <c r="G805" s="18"/>
    </row>
    <row r="806" spans="6:7" ht="15.75" customHeight="1" x14ac:dyDescent="0.3">
      <c r="F806" s="18"/>
      <c r="G806" s="18"/>
    </row>
    <row r="807" spans="6:7" ht="15.75" customHeight="1" x14ac:dyDescent="0.3">
      <c r="F807" s="18"/>
      <c r="G807" s="18"/>
    </row>
    <row r="808" spans="6:7" ht="15.75" customHeight="1" x14ac:dyDescent="0.3">
      <c r="F808" s="18"/>
      <c r="G808" s="18"/>
    </row>
    <row r="809" spans="6:7" ht="15.75" customHeight="1" x14ac:dyDescent="0.3">
      <c r="F809" s="18"/>
      <c r="G809" s="18"/>
    </row>
    <row r="810" spans="6:7" ht="15.75" customHeight="1" x14ac:dyDescent="0.3">
      <c r="F810" s="18"/>
      <c r="G810" s="18"/>
    </row>
    <row r="811" spans="6:7" ht="15.75" customHeight="1" x14ac:dyDescent="0.3">
      <c r="F811" s="18"/>
      <c r="G811" s="18"/>
    </row>
    <row r="812" spans="6:7" ht="15.75" customHeight="1" x14ac:dyDescent="0.3">
      <c r="F812" s="18"/>
      <c r="G812" s="18"/>
    </row>
    <row r="813" spans="6:7" ht="15.75" customHeight="1" x14ac:dyDescent="0.3">
      <c r="F813" s="18"/>
      <c r="G813" s="18"/>
    </row>
    <row r="814" spans="6:7" ht="15.75" customHeight="1" x14ac:dyDescent="0.3">
      <c r="F814" s="18"/>
      <c r="G814" s="18"/>
    </row>
    <row r="815" spans="6:7" ht="15.75" customHeight="1" x14ac:dyDescent="0.3">
      <c r="F815" s="18"/>
      <c r="G815" s="18"/>
    </row>
    <row r="816" spans="6:7" ht="15.75" customHeight="1" x14ac:dyDescent="0.3">
      <c r="F816" s="18"/>
      <c r="G816" s="18"/>
    </row>
    <row r="817" spans="6:7" ht="15.75" customHeight="1" x14ac:dyDescent="0.3">
      <c r="F817" s="18"/>
      <c r="G817" s="18"/>
    </row>
    <row r="818" spans="6:7" ht="15.75" customHeight="1" x14ac:dyDescent="0.3">
      <c r="F818" s="18"/>
      <c r="G818" s="18"/>
    </row>
    <row r="819" spans="6:7" ht="15.75" customHeight="1" x14ac:dyDescent="0.3">
      <c r="F819" s="18"/>
      <c r="G819" s="18"/>
    </row>
    <row r="820" spans="6:7" ht="15.75" customHeight="1" x14ac:dyDescent="0.3">
      <c r="F820" s="18"/>
      <c r="G820" s="18"/>
    </row>
    <row r="821" spans="6:7" ht="15.75" customHeight="1" x14ac:dyDescent="0.3">
      <c r="F821" s="18"/>
      <c r="G821" s="18"/>
    </row>
    <row r="822" spans="6:7" ht="15.75" customHeight="1" x14ac:dyDescent="0.3">
      <c r="F822" s="18"/>
      <c r="G822" s="18"/>
    </row>
    <row r="823" spans="6:7" ht="15.75" customHeight="1" x14ac:dyDescent="0.3">
      <c r="F823" s="18"/>
      <c r="G823" s="18"/>
    </row>
    <row r="824" spans="6:7" ht="15.75" customHeight="1" x14ac:dyDescent="0.3">
      <c r="F824" s="18"/>
      <c r="G824" s="18"/>
    </row>
    <row r="825" spans="6:7" ht="15.75" customHeight="1" x14ac:dyDescent="0.3">
      <c r="F825" s="18"/>
      <c r="G825" s="18"/>
    </row>
    <row r="826" spans="6:7" ht="15.75" customHeight="1" x14ac:dyDescent="0.3">
      <c r="F826" s="18"/>
      <c r="G826" s="18"/>
    </row>
    <row r="827" spans="6:7" ht="15.75" customHeight="1" x14ac:dyDescent="0.3">
      <c r="F827" s="18"/>
      <c r="G827" s="18"/>
    </row>
    <row r="828" spans="6:7" ht="15.75" customHeight="1" x14ac:dyDescent="0.3">
      <c r="F828" s="18"/>
      <c r="G828" s="18"/>
    </row>
    <row r="829" spans="6:7" ht="15.75" customHeight="1" x14ac:dyDescent="0.3">
      <c r="F829" s="18"/>
      <c r="G829" s="18"/>
    </row>
    <row r="830" spans="6:7" ht="15.75" customHeight="1" x14ac:dyDescent="0.3">
      <c r="F830" s="18"/>
      <c r="G830" s="18"/>
    </row>
    <row r="831" spans="6:7" ht="15.75" customHeight="1" x14ac:dyDescent="0.3">
      <c r="F831" s="18"/>
      <c r="G831" s="18"/>
    </row>
    <row r="832" spans="6:7" ht="15.75" customHeight="1" x14ac:dyDescent="0.3">
      <c r="F832" s="18"/>
      <c r="G832" s="18"/>
    </row>
    <row r="833" spans="6:7" ht="15.75" customHeight="1" x14ac:dyDescent="0.3">
      <c r="F833" s="18"/>
      <c r="G833" s="18"/>
    </row>
    <row r="834" spans="6:7" ht="15.75" customHeight="1" x14ac:dyDescent="0.3">
      <c r="F834" s="18"/>
      <c r="G834" s="18"/>
    </row>
    <row r="835" spans="6:7" ht="15.75" customHeight="1" x14ac:dyDescent="0.3">
      <c r="F835" s="18"/>
      <c r="G835" s="18"/>
    </row>
    <row r="836" spans="6:7" ht="15.75" customHeight="1" x14ac:dyDescent="0.3">
      <c r="F836" s="18"/>
      <c r="G836" s="18"/>
    </row>
    <row r="837" spans="6:7" ht="15.75" customHeight="1" x14ac:dyDescent="0.3">
      <c r="F837" s="18"/>
      <c r="G837" s="18"/>
    </row>
    <row r="838" spans="6:7" ht="15.75" customHeight="1" x14ac:dyDescent="0.3">
      <c r="F838" s="18"/>
      <c r="G838" s="18"/>
    </row>
    <row r="839" spans="6:7" ht="15.75" customHeight="1" x14ac:dyDescent="0.3">
      <c r="F839" s="18"/>
      <c r="G839" s="18"/>
    </row>
    <row r="840" spans="6:7" ht="15.75" customHeight="1" x14ac:dyDescent="0.3">
      <c r="F840" s="18"/>
      <c r="G840" s="18"/>
    </row>
    <row r="841" spans="6:7" ht="15.75" customHeight="1" x14ac:dyDescent="0.3">
      <c r="F841" s="18"/>
      <c r="G841" s="18"/>
    </row>
    <row r="842" spans="6:7" ht="15.75" customHeight="1" x14ac:dyDescent="0.3">
      <c r="F842" s="18"/>
      <c r="G842" s="18"/>
    </row>
    <row r="843" spans="6:7" ht="15.75" customHeight="1" x14ac:dyDescent="0.3">
      <c r="F843" s="18"/>
      <c r="G843" s="18"/>
    </row>
    <row r="844" spans="6:7" ht="15.75" customHeight="1" x14ac:dyDescent="0.3">
      <c r="F844" s="18"/>
      <c r="G844" s="18"/>
    </row>
    <row r="845" spans="6:7" ht="15.75" customHeight="1" x14ac:dyDescent="0.3">
      <c r="F845" s="18"/>
      <c r="G845" s="18"/>
    </row>
    <row r="846" spans="6:7" ht="15.75" customHeight="1" x14ac:dyDescent="0.3">
      <c r="F846" s="18"/>
      <c r="G846" s="18"/>
    </row>
    <row r="847" spans="6:7" ht="15.75" customHeight="1" x14ac:dyDescent="0.3">
      <c r="F847" s="18"/>
      <c r="G847" s="18"/>
    </row>
    <row r="848" spans="6:7" ht="15.75" customHeight="1" x14ac:dyDescent="0.3">
      <c r="F848" s="18"/>
      <c r="G848" s="18"/>
    </row>
    <row r="849" spans="6:7" ht="15.75" customHeight="1" x14ac:dyDescent="0.3">
      <c r="F849" s="18"/>
      <c r="G849" s="18"/>
    </row>
    <row r="850" spans="6:7" ht="15.75" customHeight="1" x14ac:dyDescent="0.3">
      <c r="F850" s="18"/>
      <c r="G850" s="18"/>
    </row>
    <row r="851" spans="6:7" ht="15.75" customHeight="1" x14ac:dyDescent="0.3">
      <c r="F851" s="18"/>
      <c r="G851" s="18"/>
    </row>
    <row r="852" spans="6:7" ht="15.75" customHeight="1" x14ac:dyDescent="0.3">
      <c r="F852" s="18"/>
      <c r="G852" s="18"/>
    </row>
    <row r="853" spans="6:7" ht="15.75" customHeight="1" x14ac:dyDescent="0.3">
      <c r="F853" s="18"/>
      <c r="G853" s="18"/>
    </row>
    <row r="854" spans="6:7" ht="15.75" customHeight="1" x14ac:dyDescent="0.3">
      <c r="F854" s="18"/>
      <c r="G854" s="18"/>
    </row>
    <row r="855" spans="6:7" ht="15.75" customHeight="1" x14ac:dyDescent="0.3">
      <c r="F855" s="18"/>
      <c r="G855" s="18"/>
    </row>
    <row r="856" spans="6:7" ht="15.75" customHeight="1" x14ac:dyDescent="0.3">
      <c r="F856" s="18"/>
      <c r="G856" s="18"/>
    </row>
    <row r="857" spans="6:7" ht="15.75" customHeight="1" x14ac:dyDescent="0.3">
      <c r="F857" s="18"/>
      <c r="G857" s="18"/>
    </row>
    <row r="858" spans="6:7" ht="15.75" customHeight="1" x14ac:dyDescent="0.3">
      <c r="F858" s="18"/>
      <c r="G858" s="18"/>
    </row>
    <row r="859" spans="6:7" ht="15.75" customHeight="1" x14ac:dyDescent="0.3">
      <c r="F859" s="18"/>
      <c r="G859" s="18"/>
    </row>
    <row r="860" spans="6:7" ht="15.75" customHeight="1" x14ac:dyDescent="0.3">
      <c r="F860" s="18"/>
      <c r="G860" s="18"/>
    </row>
    <row r="861" spans="6:7" ht="15.75" customHeight="1" x14ac:dyDescent="0.3">
      <c r="F861" s="18"/>
      <c r="G861" s="18"/>
    </row>
    <row r="862" spans="6:7" ht="15.75" customHeight="1" x14ac:dyDescent="0.3">
      <c r="F862" s="18"/>
      <c r="G862" s="18"/>
    </row>
    <row r="863" spans="6:7" ht="15.75" customHeight="1" x14ac:dyDescent="0.3">
      <c r="F863" s="18"/>
      <c r="G863" s="18"/>
    </row>
    <row r="864" spans="6:7" ht="15.75" customHeight="1" x14ac:dyDescent="0.3">
      <c r="F864" s="18"/>
      <c r="G864" s="18"/>
    </row>
    <row r="865" spans="6:7" ht="15.75" customHeight="1" x14ac:dyDescent="0.3">
      <c r="F865" s="18"/>
      <c r="G865" s="18"/>
    </row>
    <row r="866" spans="6:7" ht="15.75" customHeight="1" x14ac:dyDescent="0.3">
      <c r="F866" s="18"/>
      <c r="G866" s="18"/>
    </row>
    <row r="867" spans="6:7" ht="15.75" customHeight="1" x14ac:dyDescent="0.3">
      <c r="F867" s="18"/>
      <c r="G867" s="18"/>
    </row>
    <row r="868" spans="6:7" ht="15.75" customHeight="1" x14ac:dyDescent="0.3">
      <c r="F868" s="18"/>
      <c r="G868" s="18"/>
    </row>
    <row r="869" spans="6:7" ht="15.75" customHeight="1" x14ac:dyDescent="0.3">
      <c r="F869" s="18"/>
      <c r="G869" s="18"/>
    </row>
    <row r="870" spans="6:7" ht="15.75" customHeight="1" x14ac:dyDescent="0.3">
      <c r="F870" s="18"/>
      <c r="G870" s="18"/>
    </row>
    <row r="871" spans="6:7" ht="15.75" customHeight="1" x14ac:dyDescent="0.3">
      <c r="F871" s="18"/>
      <c r="G871" s="18"/>
    </row>
    <row r="872" spans="6:7" ht="15.75" customHeight="1" x14ac:dyDescent="0.3">
      <c r="F872" s="18"/>
      <c r="G872" s="18"/>
    </row>
    <row r="873" spans="6:7" ht="15.75" customHeight="1" x14ac:dyDescent="0.3">
      <c r="F873" s="18"/>
      <c r="G873" s="18"/>
    </row>
    <row r="874" spans="6:7" ht="15.75" customHeight="1" x14ac:dyDescent="0.3">
      <c r="F874" s="18"/>
      <c r="G874" s="18"/>
    </row>
    <row r="875" spans="6:7" ht="15.75" customHeight="1" x14ac:dyDescent="0.3">
      <c r="F875" s="18"/>
      <c r="G875" s="18"/>
    </row>
    <row r="876" spans="6:7" ht="15.75" customHeight="1" x14ac:dyDescent="0.3">
      <c r="F876" s="18"/>
      <c r="G876" s="18"/>
    </row>
    <row r="877" spans="6:7" ht="15.75" customHeight="1" x14ac:dyDescent="0.3">
      <c r="F877" s="18"/>
      <c r="G877" s="18"/>
    </row>
    <row r="878" spans="6:7" ht="15.75" customHeight="1" x14ac:dyDescent="0.3">
      <c r="F878" s="18"/>
      <c r="G878" s="18"/>
    </row>
    <row r="879" spans="6:7" ht="15.75" customHeight="1" x14ac:dyDescent="0.3">
      <c r="F879" s="18"/>
      <c r="G879" s="18"/>
    </row>
    <row r="880" spans="6:7" ht="15.75" customHeight="1" x14ac:dyDescent="0.3">
      <c r="F880" s="18"/>
      <c r="G880" s="18"/>
    </row>
    <row r="881" spans="6:7" ht="15.75" customHeight="1" x14ac:dyDescent="0.3">
      <c r="F881" s="18"/>
      <c r="G881" s="18"/>
    </row>
    <row r="882" spans="6:7" ht="15.75" customHeight="1" x14ac:dyDescent="0.3">
      <c r="F882" s="18"/>
      <c r="G882" s="18"/>
    </row>
    <row r="883" spans="6:7" ht="15.75" customHeight="1" x14ac:dyDescent="0.3">
      <c r="F883" s="18"/>
      <c r="G883" s="18"/>
    </row>
    <row r="884" spans="6:7" ht="15.75" customHeight="1" x14ac:dyDescent="0.3">
      <c r="F884" s="18"/>
      <c r="G884" s="18"/>
    </row>
    <row r="885" spans="6:7" ht="15.75" customHeight="1" x14ac:dyDescent="0.3">
      <c r="F885" s="18"/>
      <c r="G885" s="18"/>
    </row>
    <row r="886" spans="6:7" ht="15.75" customHeight="1" x14ac:dyDescent="0.3">
      <c r="F886" s="18"/>
      <c r="G886" s="18"/>
    </row>
    <row r="887" spans="6:7" ht="15.75" customHeight="1" x14ac:dyDescent="0.3">
      <c r="F887" s="18"/>
      <c r="G887" s="18"/>
    </row>
    <row r="888" spans="6:7" ht="15.75" customHeight="1" x14ac:dyDescent="0.3">
      <c r="F888" s="18"/>
      <c r="G888" s="18"/>
    </row>
    <row r="889" spans="6:7" ht="15.75" customHeight="1" x14ac:dyDescent="0.3">
      <c r="F889" s="18"/>
      <c r="G889" s="18"/>
    </row>
    <row r="890" spans="6:7" ht="15.75" customHeight="1" x14ac:dyDescent="0.3">
      <c r="F890" s="18"/>
      <c r="G890" s="18"/>
    </row>
    <row r="891" spans="6:7" ht="15.75" customHeight="1" x14ac:dyDescent="0.3">
      <c r="F891" s="18"/>
      <c r="G891" s="18"/>
    </row>
    <row r="892" spans="6:7" ht="15.75" customHeight="1" x14ac:dyDescent="0.3">
      <c r="F892" s="18"/>
      <c r="G892" s="18"/>
    </row>
    <row r="893" spans="6:7" ht="15.75" customHeight="1" x14ac:dyDescent="0.3">
      <c r="F893" s="18"/>
      <c r="G893" s="18"/>
    </row>
    <row r="894" spans="6:7" ht="15.75" customHeight="1" x14ac:dyDescent="0.3">
      <c r="F894" s="18"/>
      <c r="G894" s="18"/>
    </row>
    <row r="895" spans="6:7" ht="15.75" customHeight="1" x14ac:dyDescent="0.3">
      <c r="F895" s="18"/>
      <c r="G895" s="18"/>
    </row>
    <row r="896" spans="6:7" ht="15.75" customHeight="1" x14ac:dyDescent="0.3">
      <c r="F896" s="18"/>
      <c r="G896" s="18"/>
    </row>
    <row r="897" spans="6:7" ht="15.75" customHeight="1" x14ac:dyDescent="0.3">
      <c r="F897" s="18"/>
      <c r="G897" s="18"/>
    </row>
    <row r="898" spans="6:7" ht="15.75" customHeight="1" x14ac:dyDescent="0.3">
      <c r="F898" s="18"/>
      <c r="G898" s="18"/>
    </row>
    <row r="899" spans="6:7" ht="15.75" customHeight="1" x14ac:dyDescent="0.3">
      <c r="F899" s="18"/>
      <c r="G899" s="18"/>
    </row>
    <row r="900" spans="6:7" ht="15.75" customHeight="1" x14ac:dyDescent="0.3">
      <c r="F900" s="18"/>
      <c r="G900" s="18"/>
    </row>
    <row r="901" spans="6:7" ht="15.75" customHeight="1" x14ac:dyDescent="0.3">
      <c r="F901" s="18"/>
      <c r="G901" s="18"/>
    </row>
    <row r="902" spans="6:7" ht="15.75" customHeight="1" x14ac:dyDescent="0.3">
      <c r="F902" s="18"/>
      <c r="G902" s="18"/>
    </row>
    <row r="903" spans="6:7" ht="15.75" customHeight="1" x14ac:dyDescent="0.3">
      <c r="F903" s="18"/>
      <c r="G903" s="18"/>
    </row>
    <row r="904" spans="6:7" ht="15.75" customHeight="1" x14ac:dyDescent="0.3">
      <c r="F904" s="18"/>
      <c r="G904" s="18"/>
    </row>
    <row r="905" spans="6:7" ht="15.75" customHeight="1" x14ac:dyDescent="0.3">
      <c r="F905" s="18"/>
      <c r="G905" s="18"/>
    </row>
    <row r="906" spans="6:7" ht="15.75" customHeight="1" x14ac:dyDescent="0.3">
      <c r="F906" s="18"/>
      <c r="G906" s="18"/>
    </row>
    <row r="907" spans="6:7" ht="15.75" customHeight="1" x14ac:dyDescent="0.3">
      <c r="F907" s="18"/>
      <c r="G907" s="18"/>
    </row>
    <row r="908" spans="6:7" ht="15.75" customHeight="1" x14ac:dyDescent="0.3">
      <c r="F908" s="18"/>
      <c r="G908" s="18"/>
    </row>
    <row r="909" spans="6:7" ht="15.75" customHeight="1" x14ac:dyDescent="0.3">
      <c r="F909" s="18"/>
      <c r="G909" s="18"/>
    </row>
    <row r="910" spans="6:7" ht="15.75" customHeight="1" x14ac:dyDescent="0.3">
      <c r="F910" s="18"/>
      <c r="G910" s="18"/>
    </row>
    <row r="911" spans="6:7" ht="15.75" customHeight="1" x14ac:dyDescent="0.3">
      <c r="F911" s="18"/>
      <c r="G911" s="18"/>
    </row>
    <row r="912" spans="6:7" ht="15.75" customHeight="1" x14ac:dyDescent="0.3">
      <c r="F912" s="18"/>
      <c r="G912" s="18"/>
    </row>
    <row r="913" spans="6:7" ht="15.75" customHeight="1" x14ac:dyDescent="0.3">
      <c r="F913" s="18"/>
      <c r="G913" s="18"/>
    </row>
    <row r="914" spans="6:7" ht="15.75" customHeight="1" x14ac:dyDescent="0.3">
      <c r="F914" s="18"/>
      <c r="G914" s="18"/>
    </row>
    <row r="915" spans="6:7" ht="15.75" customHeight="1" x14ac:dyDescent="0.3">
      <c r="F915" s="18"/>
      <c r="G915" s="18"/>
    </row>
    <row r="916" spans="6:7" ht="15.75" customHeight="1" x14ac:dyDescent="0.3">
      <c r="F916" s="18"/>
      <c r="G916" s="18"/>
    </row>
    <row r="917" spans="6:7" ht="15.75" customHeight="1" x14ac:dyDescent="0.3">
      <c r="F917" s="18"/>
      <c r="G917" s="18"/>
    </row>
    <row r="918" spans="6:7" ht="15.75" customHeight="1" x14ac:dyDescent="0.3">
      <c r="F918" s="18"/>
      <c r="G918" s="18"/>
    </row>
    <row r="919" spans="6:7" ht="15.75" customHeight="1" x14ac:dyDescent="0.3">
      <c r="F919" s="18"/>
      <c r="G919" s="18"/>
    </row>
    <row r="920" spans="6:7" ht="15.75" customHeight="1" x14ac:dyDescent="0.3">
      <c r="F920" s="18"/>
      <c r="G920" s="18"/>
    </row>
    <row r="921" spans="6:7" ht="15.75" customHeight="1" x14ac:dyDescent="0.3">
      <c r="F921" s="18"/>
      <c r="G921" s="18"/>
    </row>
    <row r="922" spans="6:7" ht="15.75" customHeight="1" x14ac:dyDescent="0.3">
      <c r="F922" s="18"/>
      <c r="G922" s="18"/>
    </row>
    <row r="923" spans="6:7" ht="15.75" customHeight="1" x14ac:dyDescent="0.3">
      <c r="F923" s="18"/>
      <c r="G923" s="18"/>
    </row>
    <row r="924" spans="6:7" ht="15.75" customHeight="1" x14ac:dyDescent="0.3">
      <c r="F924" s="18"/>
      <c r="G924" s="18"/>
    </row>
    <row r="925" spans="6:7" ht="15.75" customHeight="1" x14ac:dyDescent="0.3">
      <c r="F925" s="18"/>
      <c r="G925" s="18"/>
    </row>
    <row r="926" spans="6:7" ht="15.75" customHeight="1" x14ac:dyDescent="0.3">
      <c r="F926" s="18"/>
      <c r="G926" s="18"/>
    </row>
    <row r="927" spans="6:7" ht="15.75" customHeight="1" x14ac:dyDescent="0.3">
      <c r="F927" s="18"/>
      <c r="G927" s="18"/>
    </row>
    <row r="928" spans="6:7" ht="15.75" customHeight="1" x14ac:dyDescent="0.3">
      <c r="F928" s="18"/>
      <c r="G928" s="18"/>
    </row>
    <row r="929" spans="6:7" ht="15.75" customHeight="1" x14ac:dyDescent="0.3">
      <c r="F929" s="18"/>
      <c r="G929" s="18"/>
    </row>
    <row r="930" spans="6:7" ht="15.75" customHeight="1" x14ac:dyDescent="0.3">
      <c r="F930" s="18"/>
      <c r="G930" s="18"/>
    </row>
    <row r="931" spans="6:7" ht="15.75" customHeight="1" x14ac:dyDescent="0.3">
      <c r="F931" s="18"/>
      <c r="G931" s="18"/>
    </row>
    <row r="932" spans="6:7" ht="15.75" customHeight="1" x14ac:dyDescent="0.3">
      <c r="F932" s="18"/>
      <c r="G932" s="18"/>
    </row>
    <row r="933" spans="6:7" ht="15.75" customHeight="1" x14ac:dyDescent="0.3">
      <c r="F933" s="18"/>
      <c r="G933" s="18"/>
    </row>
    <row r="934" spans="6:7" ht="15.75" customHeight="1" x14ac:dyDescent="0.3">
      <c r="F934" s="18"/>
      <c r="G934" s="18"/>
    </row>
    <row r="935" spans="6:7" ht="15.75" customHeight="1" x14ac:dyDescent="0.3">
      <c r="F935" s="18"/>
      <c r="G935" s="18"/>
    </row>
    <row r="936" spans="6:7" ht="15.75" customHeight="1" x14ac:dyDescent="0.3">
      <c r="F936" s="18"/>
      <c r="G936" s="18"/>
    </row>
    <row r="937" spans="6:7" ht="15.75" customHeight="1" x14ac:dyDescent="0.3">
      <c r="F937" s="18"/>
      <c r="G937" s="18"/>
    </row>
    <row r="938" spans="6:7" ht="15.75" customHeight="1" x14ac:dyDescent="0.3">
      <c r="F938" s="18"/>
      <c r="G938" s="18"/>
    </row>
    <row r="939" spans="6:7" ht="15.75" customHeight="1" x14ac:dyDescent="0.3">
      <c r="F939" s="18"/>
      <c r="G939" s="18"/>
    </row>
    <row r="940" spans="6:7" ht="15.75" customHeight="1" x14ac:dyDescent="0.3">
      <c r="F940" s="18"/>
      <c r="G940" s="18"/>
    </row>
    <row r="941" spans="6:7" ht="15.75" customHeight="1" x14ac:dyDescent="0.3">
      <c r="F941" s="18"/>
      <c r="G941" s="18"/>
    </row>
    <row r="942" spans="6:7" ht="15.75" customHeight="1" x14ac:dyDescent="0.3">
      <c r="F942" s="18"/>
      <c r="G942" s="18"/>
    </row>
    <row r="943" spans="6:7" ht="15.75" customHeight="1" x14ac:dyDescent="0.3">
      <c r="F943" s="18"/>
      <c r="G943" s="18"/>
    </row>
    <row r="944" spans="6:7" ht="15.75" customHeight="1" x14ac:dyDescent="0.3">
      <c r="F944" s="18"/>
      <c r="G944" s="18"/>
    </row>
    <row r="945" spans="6:7" ht="15.75" customHeight="1" x14ac:dyDescent="0.3">
      <c r="F945" s="18"/>
      <c r="G945" s="18"/>
    </row>
    <row r="946" spans="6:7" ht="15.75" customHeight="1" x14ac:dyDescent="0.3">
      <c r="F946" s="18"/>
      <c r="G946" s="18"/>
    </row>
    <row r="947" spans="6:7" ht="15.75" customHeight="1" x14ac:dyDescent="0.3">
      <c r="F947" s="18"/>
      <c r="G947" s="18"/>
    </row>
    <row r="948" spans="6:7" ht="15.75" customHeight="1" x14ac:dyDescent="0.3">
      <c r="F948" s="18"/>
      <c r="G948" s="18"/>
    </row>
    <row r="949" spans="6:7" ht="15.75" customHeight="1" x14ac:dyDescent="0.3">
      <c r="F949" s="18"/>
      <c r="G949" s="18"/>
    </row>
    <row r="950" spans="6:7" ht="15.75" customHeight="1" x14ac:dyDescent="0.3">
      <c r="F950" s="18"/>
      <c r="G950" s="18"/>
    </row>
    <row r="951" spans="6:7" ht="15.75" customHeight="1" x14ac:dyDescent="0.3">
      <c r="F951" s="18"/>
      <c r="G951" s="18"/>
    </row>
    <row r="952" spans="6:7" ht="15.75" customHeight="1" x14ac:dyDescent="0.3">
      <c r="F952" s="18"/>
      <c r="G952" s="18"/>
    </row>
    <row r="953" spans="6:7" ht="15.75" customHeight="1" x14ac:dyDescent="0.3">
      <c r="F953" s="18"/>
      <c r="G953" s="18"/>
    </row>
    <row r="954" spans="6:7" ht="15.75" customHeight="1" x14ac:dyDescent="0.3">
      <c r="F954" s="18"/>
      <c r="G954" s="18"/>
    </row>
    <row r="955" spans="6:7" ht="15.75" customHeight="1" x14ac:dyDescent="0.3">
      <c r="F955" s="18"/>
      <c r="G955" s="18"/>
    </row>
    <row r="956" spans="6:7" ht="15.75" customHeight="1" x14ac:dyDescent="0.3">
      <c r="F956" s="18"/>
      <c r="G956" s="18"/>
    </row>
    <row r="957" spans="6:7" ht="15.75" customHeight="1" x14ac:dyDescent="0.3">
      <c r="F957" s="18"/>
      <c r="G957" s="18"/>
    </row>
    <row r="958" spans="6:7" ht="15.75" customHeight="1" x14ac:dyDescent="0.3">
      <c r="F958" s="18"/>
      <c r="G958" s="18"/>
    </row>
    <row r="959" spans="6:7" ht="15.75" customHeight="1" x14ac:dyDescent="0.3">
      <c r="F959" s="18"/>
      <c r="G959" s="18"/>
    </row>
    <row r="960" spans="6:7" ht="15.75" customHeight="1" x14ac:dyDescent="0.3">
      <c r="F960" s="18"/>
      <c r="G960" s="18"/>
    </row>
    <row r="961" spans="6:7" ht="15.75" customHeight="1" x14ac:dyDescent="0.3">
      <c r="F961" s="18"/>
      <c r="G961" s="18"/>
    </row>
    <row r="962" spans="6:7" ht="15.75" customHeight="1" x14ac:dyDescent="0.3">
      <c r="F962" s="18"/>
      <c r="G962" s="18"/>
    </row>
    <row r="963" spans="6:7" ht="15.75" customHeight="1" x14ac:dyDescent="0.3">
      <c r="F963" s="18"/>
      <c r="G963" s="18"/>
    </row>
    <row r="964" spans="6:7" ht="15.75" customHeight="1" x14ac:dyDescent="0.3">
      <c r="F964" s="18"/>
      <c r="G964" s="18"/>
    </row>
    <row r="965" spans="6:7" ht="15.75" customHeight="1" x14ac:dyDescent="0.3">
      <c r="F965" s="18"/>
      <c r="G965" s="18"/>
    </row>
    <row r="966" spans="6:7" ht="15.75" customHeight="1" x14ac:dyDescent="0.3">
      <c r="F966" s="18"/>
      <c r="G966" s="18"/>
    </row>
    <row r="967" spans="6:7" ht="15.75" customHeight="1" x14ac:dyDescent="0.3">
      <c r="F967" s="18"/>
      <c r="G967" s="18"/>
    </row>
    <row r="968" spans="6:7" ht="15.75" customHeight="1" x14ac:dyDescent="0.3">
      <c r="F968" s="18"/>
      <c r="G968" s="18"/>
    </row>
    <row r="969" spans="6:7" ht="15.75" customHeight="1" x14ac:dyDescent="0.3">
      <c r="F969" s="18"/>
      <c r="G969" s="18"/>
    </row>
    <row r="970" spans="6:7" ht="15.75" customHeight="1" x14ac:dyDescent="0.3">
      <c r="F970" s="18"/>
      <c r="G970" s="18"/>
    </row>
    <row r="971" spans="6:7" ht="15.75" customHeight="1" x14ac:dyDescent="0.3">
      <c r="F971" s="18"/>
      <c r="G971" s="18"/>
    </row>
    <row r="972" spans="6:7" ht="15.75" customHeight="1" x14ac:dyDescent="0.3">
      <c r="F972" s="18"/>
      <c r="G972" s="18"/>
    </row>
    <row r="973" spans="6:7" ht="15.75" customHeight="1" x14ac:dyDescent="0.3">
      <c r="F973" s="18"/>
      <c r="G973" s="18"/>
    </row>
    <row r="974" spans="6:7" ht="15.75" customHeight="1" x14ac:dyDescent="0.3">
      <c r="F974" s="18"/>
      <c r="G974" s="18"/>
    </row>
    <row r="975" spans="6:7" ht="15.75" customHeight="1" x14ac:dyDescent="0.3">
      <c r="F975" s="18"/>
      <c r="G975" s="18"/>
    </row>
    <row r="976" spans="6:7" ht="15.75" customHeight="1" x14ac:dyDescent="0.3">
      <c r="F976" s="18"/>
      <c r="G976" s="18"/>
    </row>
    <row r="977" spans="6:7" ht="15.75" customHeight="1" x14ac:dyDescent="0.3">
      <c r="F977" s="18"/>
      <c r="G977" s="18"/>
    </row>
    <row r="978" spans="6:7" ht="15.75" customHeight="1" x14ac:dyDescent="0.3">
      <c r="F978" s="18"/>
      <c r="G978" s="18"/>
    </row>
    <row r="979" spans="6:7" ht="15.75" customHeight="1" x14ac:dyDescent="0.3">
      <c r="F979" s="18"/>
      <c r="G979" s="18"/>
    </row>
    <row r="980" spans="6:7" ht="15.75" customHeight="1" x14ac:dyDescent="0.3">
      <c r="F980" s="18"/>
      <c r="G980" s="18"/>
    </row>
    <row r="981" spans="6:7" ht="15.75" customHeight="1" x14ac:dyDescent="0.3">
      <c r="F981" s="18"/>
      <c r="G981" s="18"/>
    </row>
    <row r="982" spans="6:7" ht="15.75" customHeight="1" x14ac:dyDescent="0.3">
      <c r="F982" s="18"/>
      <c r="G982" s="18"/>
    </row>
    <row r="983" spans="6:7" ht="15.75" customHeight="1" x14ac:dyDescent="0.3">
      <c r="F983" s="18"/>
      <c r="G983" s="18"/>
    </row>
    <row r="984" spans="6:7" ht="15.75" customHeight="1" x14ac:dyDescent="0.3">
      <c r="F984" s="18"/>
      <c r="G984" s="18"/>
    </row>
    <row r="985" spans="6:7" ht="15.75" customHeight="1" x14ac:dyDescent="0.3">
      <c r="F985" s="18"/>
      <c r="G985" s="18"/>
    </row>
    <row r="986" spans="6:7" ht="15.75" customHeight="1" x14ac:dyDescent="0.3">
      <c r="F986" s="18"/>
      <c r="G986" s="18"/>
    </row>
    <row r="987" spans="6:7" ht="15.75" customHeight="1" x14ac:dyDescent="0.3">
      <c r="F987" s="18"/>
      <c r="G987" s="18"/>
    </row>
    <row r="988" spans="6:7" ht="15.75" customHeight="1" x14ac:dyDescent="0.3">
      <c r="F988" s="18"/>
      <c r="G988" s="18"/>
    </row>
    <row r="989" spans="6:7" ht="15.75" customHeight="1" x14ac:dyDescent="0.3">
      <c r="F989" s="18"/>
      <c r="G989" s="18"/>
    </row>
    <row r="990" spans="6:7" ht="15.75" customHeight="1" x14ac:dyDescent="0.3">
      <c r="F990" s="18"/>
      <c r="G990" s="18"/>
    </row>
    <row r="991" spans="6:7" ht="15.75" customHeight="1" x14ac:dyDescent="0.3">
      <c r="F991" s="18"/>
      <c r="G991" s="18"/>
    </row>
    <row r="992" spans="6:7" ht="15.75" customHeight="1" x14ac:dyDescent="0.3">
      <c r="F992" s="18"/>
      <c r="G992" s="18"/>
    </row>
    <row r="993" spans="6:7" ht="15.75" customHeight="1" x14ac:dyDescent="0.3">
      <c r="F993" s="18"/>
      <c r="G993" s="18"/>
    </row>
    <row r="994" spans="6:7" ht="15.75" customHeight="1" x14ac:dyDescent="0.3">
      <c r="F994" s="18"/>
      <c r="G994" s="18"/>
    </row>
    <row r="995" spans="6:7" ht="15.75" customHeight="1" x14ac:dyDescent="0.3">
      <c r="F995" s="18"/>
      <c r="G995" s="18"/>
    </row>
    <row r="996" spans="6:7" ht="15.75" customHeight="1" x14ac:dyDescent="0.3">
      <c r="F996" s="18"/>
      <c r="G996" s="18"/>
    </row>
    <row r="997" spans="6:7" ht="15.75" customHeight="1" x14ac:dyDescent="0.3">
      <c r="F997" s="18"/>
      <c r="G997" s="18"/>
    </row>
    <row r="998" spans="6:7" ht="15.75" customHeight="1" x14ac:dyDescent="0.3">
      <c r="F998" s="18"/>
      <c r="G998" s="18"/>
    </row>
    <row r="999" spans="6:7" ht="15.75" customHeight="1" x14ac:dyDescent="0.3">
      <c r="F999" s="18"/>
      <c r="G999" s="18"/>
    </row>
    <row r="1000" spans="6:7" ht="15.75" customHeight="1" x14ac:dyDescent="0.3">
      <c r="F1000" s="18"/>
      <c r="G1000" s="18"/>
    </row>
  </sheetData>
  <dataValidations count="2">
    <dataValidation type="list" allowBlank="1" showErrorMessage="1" sqref="D2:D13" xr:uid="{00000000-0002-0000-0100-000000000000}">
      <formula1>"Port,Source,Sink,Transshipment"</formula1>
    </dataValidation>
    <dataValidation type="custom" allowBlank="1" showDropDown="1" sqref="C2:C13 E2:E13" xr:uid="{00000000-0002-0000-0100-000001000000}">
      <formula1>AND(ISNUMBER(C2),(NOT(OR(NOT(ISERROR(DATEVALUE(C2))), AND(ISNUMBER(C2), LEFT(CELL("format", C2))="D")))))</formula1>
    </dataValidation>
  </dataValidation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V999"/>
  <sheetViews>
    <sheetView tabSelected="1" topLeftCell="A6" workbookViewId="0">
      <selection activeCell="D14" sqref="D14"/>
    </sheetView>
  </sheetViews>
  <sheetFormatPr defaultColWidth="11.19921875" defaultRowHeight="15" customHeight="1" x14ac:dyDescent="0.3"/>
  <cols>
    <col min="1" max="1" width="57.796875" customWidth="1"/>
    <col min="2" max="2" width="38.796875" customWidth="1"/>
    <col min="3" max="3" width="18.09765625" bestFit="1" customWidth="1"/>
  </cols>
  <sheetData>
    <row r="1" spans="1:22" ht="24.75" customHeight="1" x14ac:dyDescent="0.3">
      <c r="A1" s="19" t="s">
        <v>135</v>
      </c>
      <c r="B1" s="90" t="s">
        <v>136</v>
      </c>
      <c r="C1" s="3"/>
      <c r="D1" s="3"/>
      <c r="E1" s="3"/>
      <c r="F1" s="3"/>
      <c r="G1" s="3"/>
      <c r="H1" s="3"/>
      <c r="I1" s="3"/>
      <c r="J1" s="3"/>
      <c r="K1" s="3"/>
      <c r="L1" s="3"/>
      <c r="M1" s="3"/>
      <c r="N1" s="3"/>
      <c r="O1" s="3"/>
      <c r="P1" s="3"/>
      <c r="Q1" s="3"/>
      <c r="R1" s="3"/>
      <c r="S1" s="3"/>
      <c r="T1" s="3"/>
      <c r="U1" s="3"/>
    </row>
    <row r="2" spans="1:22" ht="24.75" customHeight="1" x14ac:dyDescent="0.3">
      <c r="A2" s="20" t="s">
        <v>137</v>
      </c>
      <c r="B2" s="86">
        <v>1</v>
      </c>
      <c r="D2" s="3"/>
      <c r="E2" s="3"/>
      <c r="F2" s="3"/>
      <c r="G2" s="3"/>
      <c r="H2" s="3"/>
      <c r="I2" s="3"/>
      <c r="J2" s="3"/>
      <c r="K2" s="3"/>
      <c r="L2" s="3"/>
      <c r="M2" s="3"/>
      <c r="N2" s="3"/>
      <c r="O2" s="3"/>
      <c r="P2" s="3"/>
      <c r="Q2" s="3"/>
      <c r="R2" s="3"/>
      <c r="S2" s="3"/>
      <c r="T2" s="3"/>
      <c r="U2" s="3"/>
      <c r="V2" s="3"/>
    </row>
    <row r="3" spans="1:22" ht="24.75" customHeight="1" x14ac:dyDescent="0.3">
      <c r="A3" s="20" t="s">
        <v>138</v>
      </c>
      <c r="B3" s="86">
        <v>0.4</v>
      </c>
      <c r="D3" s="3"/>
      <c r="E3" s="3"/>
      <c r="F3" s="3"/>
      <c r="G3" s="3"/>
      <c r="H3" s="3"/>
      <c r="I3" s="3"/>
      <c r="J3" s="3"/>
      <c r="K3" s="3"/>
      <c r="L3" s="3"/>
      <c r="M3" s="3"/>
      <c r="N3" s="3"/>
      <c r="O3" s="3"/>
      <c r="P3" s="3"/>
      <c r="Q3" s="3"/>
      <c r="R3" s="3"/>
      <c r="S3" s="3"/>
      <c r="T3" s="3"/>
      <c r="U3" s="3"/>
      <c r="V3" s="3"/>
    </row>
    <row r="4" spans="1:22" ht="24.75" customHeight="1" x14ac:dyDescent="0.3">
      <c r="A4" s="20" t="s">
        <v>139</v>
      </c>
      <c r="B4" s="91">
        <v>0.25</v>
      </c>
      <c r="D4" s="3"/>
      <c r="E4" s="3"/>
      <c r="F4" s="3"/>
      <c r="G4" s="3"/>
      <c r="H4" s="3"/>
      <c r="I4" s="3"/>
      <c r="J4" s="3"/>
      <c r="K4" s="3"/>
      <c r="L4" s="3"/>
      <c r="M4" s="3"/>
      <c r="N4" s="3"/>
      <c r="O4" s="3"/>
      <c r="P4" s="3"/>
      <c r="Q4" s="3"/>
      <c r="R4" s="3"/>
      <c r="S4" s="3"/>
      <c r="T4" s="3"/>
      <c r="U4" s="3"/>
      <c r="V4" s="3"/>
    </row>
    <row r="5" spans="1:22" ht="24.75" customHeight="1" x14ac:dyDescent="0.3">
      <c r="A5" s="21"/>
      <c r="B5" s="22"/>
      <c r="C5" s="3"/>
      <c r="D5" s="3"/>
      <c r="E5" s="3"/>
      <c r="F5" s="3"/>
      <c r="G5" s="3"/>
      <c r="H5" s="3"/>
      <c r="I5" s="3"/>
      <c r="J5" s="3"/>
      <c r="K5" s="3"/>
      <c r="L5" s="3"/>
      <c r="M5" s="3"/>
      <c r="N5" s="3"/>
      <c r="O5" s="3"/>
      <c r="P5" s="3"/>
      <c r="Q5" s="3"/>
      <c r="R5" s="3"/>
      <c r="S5" s="3"/>
      <c r="T5" s="3"/>
      <c r="U5" s="3"/>
      <c r="V5" s="3"/>
    </row>
    <row r="6" spans="1:22" ht="24.75" customHeight="1" x14ac:dyDescent="0.3">
      <c r="A6" s="23" t="s">
        <v>140</v>
      </c>
      <c r="B6" s="24" t="s">
        <v>141</v>
      </c>
      <c r="C6" s="3"/>
      <c r="D6" s="3"/>
      <c r="E6" s="3"/>
      <c r="F6" s="3"/>
      <c r="G6" s="3"/>
      <c r="H6" s="3"/>
      <c r="I6" s="3"/>
      <c r="J6" s="3"/>
      <c r="K6" s="3"/>
      <c r="L6" s="3"/>
      <c r="M6" s="3"/>
      <c r="N6" s="3"/>
      <c r="O6" s="3"/>
      <c r="P6" s="3"/>
      <c r="Q6" s="3"/>
      <c r="R6" s="3"/>
      <c r="S6" s="3"/>
      <c r="T6" s="3"/>
      <c r="U6" s="3"/>
      <c r="V6" s="3"/>
    </row>
    <row r="7" spans="1:22" ht="24.75" customHeight="1" x14ac:dyDescent="0.3">
      <c r="A7" s="25" t="s">
        <v>142</v>
      </c>
      <c r="B7" s="26" t="s">
        <v>143</v>
      </c>
      <c r="C7" s="3"/>
      <c r="D7" s="3"/>
      <c r="E7" s="3"/>
      <c r="F7" s="3"/>
      <c r="G7" s="3"/>
      <c r="H7" s="3"/>
      <c r="I7" s="3"/>
      <c r="J7" s="3"/>
      <c r="K7" s="3"/>
      <c r="L7" s="3"/>
      <c r="M7" s="3"/>
      <c r="N7" s="3"/>
      <c r="O7" s="3"/>
      <c r="P7" s="3"/>
      <c r="Q7" s="3"/>
      <c r="R7" s="3"/>
      <c r="S7" s="3"/>
      <c r="T7" s="3"/>
      <c r="U7" s="3"/>
      <c r="V7" s="3"/>
    </row>
    <row r="8" spans="1:22" ht="24.75" customHeight="1" x14ac:dyDescent="0.3">
      <c r="A8" s="27" t="s">
        <v>144</v>
      </c>
      <c r="B8" s="28">
        <v>800000</v>
      </c>
      <c r="C8" s="3"/>
      <c r="D8" s="3"/>
      <c r="E8" s="3"/>
      <c r="F8" s="3"/>
      <c r="G8" s="3"/>
      <c r="H8" s="3"/>
      <c r="I8" s="3"/>
      <c r="J8" s="3"/>
      <c r="K8" s="3"/>
      <c r="L8" s="3"/>
      <c r="M8" s="3"/>
      <c r="N8" s="3"/>
      <c r="O8" s="3"/>
      <c r="P8" s="3"/>
      <c r="Q8" s="3"/>
      <c r="R8" s="3"/>
      <c r="S8" s="3"/>
      <c r="T8" s="3"/>
      <c r="U8" s="3"/>
      <c r="V8" s="3"/>
    </row>
    <row r="9" spans="1:22" ht="24.75" customHeight="1" x14ac:dyDescent="0.3">
      <c r="A9" s="27" t="s">
        <v>145</v>
      </c>
      <c r="B9" s="28">
        <v>500000</v>
      </c>
      <c r="C9" s="3"/>
      <c r="D9" s="3"/>
      <c r="E9" s="3"/>
      <c r="F9" s="3"/>
      <c r="G9" s="3"/>
      <c r="H9" s="3"/>
      <c r="I9" s="3"/>
      <c r="J9" s="3"/>
      <c r="K9" s="3"/>
      <c r="L9" s="3"/>
      <c r="M9" s="3"/>
      <c r="N9" s="3"/>
      <c r="O9" s="3"/>
      <c r="P9" s="3"/>
      <c r="Q9" s="3"/>
      <c r="R9" s="3"/>
      <c r="S9" s="3"/>
      <c r="T9" s="3"/>
      <c r="U9" s="3"/>
      <c r="V9" s="3"/>
    </row>
    <row r="10" spans="1:22" ht="24.75" customHeight="1" x14ac:dyDescent="0.3">
      <c r="A10" s="27" t="s">
        <v>146</v>
      </c>
      <c r="B10" s="28">
        <v>340000</v>
      </c>
      <c r="C10" s="3"/>
      <c r="D10" s="3"/>
      <c r="E10" s="3"/>
      <c r="F10" s="3"/>
      <c r="G10" s="3"/>
      <c r="H10" s="3"/>
      <c r="I10" s="3"/>
      <c r="J10" s="3"/>
      <c r="K10" s="3"/>
      <c r="L10" s="3"/>
      <c r="M10" s="3"/>
      <c r="N10" s="3"/>
      <c r="O10" s="3"/>
      <c r="P10" s="3"/>
      <c r="Q10" s="3"/>
      <c r="R10" s="3"/>
      <c r="S10" s="3"/>
      <c r="T10" s="3"/>
      <c r="U10" s="3"/>
      <c r="V10" s="3"/>
    </row>
    <row r="11" spans="1:22" ht="24.75" customHeight="1" x14ac:dyDescent="0.3">
      <c r="A11" s="27" t="s">
        <v>147</v>
      </c>
      <c r="B11" s="28">
        <v>500000</v>
      </c>
      <c r="C11" s="3"/>
      <c r="D11" s="3"/>
      <c r="E11" s="3"/>
      <c r="F11" s="3"/>
      <c r="G11" s="3"/>
      <c r="H11" s="3"/>
      <c r="I11" s="3"/>
      <c r="J11" s="3"/>
      <c r="K11" s="3"/>
      <c r="L11" s="3"/>
      <c r="M11" s="3"/>
      <c r="N11" s="3"/>
      <c r="O11" s="3"/>
      <c r="P11" s="3"/>
      <c r="Q11" s="3"/>
      <c r="R11" s="3"/>
      <c r="S11" s="3"/>
      <c r="T11" s="3"/>
      <c r="U11" s="3"/>
      <c r="V11" s="3"/>
    </row>
    <row r="12" spans="1:22" ht="24.75" customHeight="1" x14ac:dyDescent="0.3">
      <c r="A12" s="27" t="s">
        <v>148</v>
      </c>
      <c r="B12" s="28">
        <v>1000000</v>
      </c>
      <c r="C12" s="3"/>
      <c r="D12" s="3"/>
      <c r="E12" s="3"/>
      <c r="F12" s="3"/>
      <c r="G12" s="3"/>
      <c r="H12" s="3"/>
      <c r="I12" s="3"/>
      <c r="J12" s="3"/>
      <c r="K12" s="3"/>
      <c r="L12" s="3"/>
      <c r="M12" s="3"/>
      <c r="N12" s="3"/>
      <c r="O12" s="3"/>
      <c r="P12" s="3"/>
      <c r="Q12" s="3"/>
      <c r="R12" s="3"/>
      <c r="S12" s="3"/>
      <c r="T12" s="3"/>
      <c r="U12" s="3"/>
    </row>
    <row r="13" spans="1:22" ht="24.75" customHeight="1" x14ac:dyDescent="0.3">
      <c r="A13" s="21"/>
      <c r="B13" s="22"/>
      <c r="C13" s="3"/>
      <c r="D13" s="3"/>
      <c r="E13" s="3"/>
      <c r="F13" s="3"/>
      <c r="G13" s="3"/>
      <c r="H13" s="3"/>
      <c r="I13" s="3"/>
      <c r="J13" s="3"/>
      <c r="K13" s="3"/>
      <c r="L13" s="3"/>
      <c r="M13" s="3"/>
      <c r="N13" s="3"/>
      <c r="O13" s="3"/>
      <c r="P13" s="3"/>
      <c r="Q13" s="3"/>
      <c r="R13" s="3"/>
      <c r="S13" s="3"/>
      <c r="T13" s="3"/>
      <c r="U13" s="3"/>
      <c r="V13" s="3"/>
    </row>
    <row r="14" spans="1:22" ht="24.75" customHeight="1" x14ac:dyDescent="0.3">
      <c r="A14" s="29" t="s">
        <v>149</v>
      </c>
      <c r="B14" s="30" t="s">
        <v>150</v>
      </c>
      <c r="C14" s="3"/>
      <c r="D14" s="3"/>
      <c r="E14" s="3"/>
      <c r="F14" s="3"/>
      <c r="G14" s="3"/>
      <c r="H14" s="3"/>
      <c r="I14" s="3"/>
      <c r="J14" s="3"/>
      <c r="K14" s="3"/>
      <c r="L14" s="3"/>
      <c r="M14" s="3"/>
      <c r="N14" s="3"/>
      <c r="O14" s="3"/>
      <c r="P14" s="3"/>
      <c r="Q14" s="3"/>
      <c r="R14" s="3"/>
      <c r="S14" s="3"/>
      <c r="T14" s="3"/>
      <c r="U14" s="3"/>
    </row>
    <row r="15" spans="1:22" ht="24.75" customHeight="1" x14ac:dyDescent="0.3">
      <c r="A15" s="19" t="s">
        <v>142</v>
      </c>
      <c r="B15" s="31" t="s">
        <v>151</v>
      </c>
      <c r="C15" s="3"/>
      <c r="D15" s="3"/>
      <c r="E15" s="3"/>
      <c r="F15" s="3"/>
      <c r="G15" s="3"/>
      <c r="H15" s="3"/>
      <c r="I15" s="3"/>
      <c r="J15" s="3"/>
      <c r="K15" s="3"/>
      <c r="L15" s="3"/>
      <c r="M15" s="3"/>
      <c r="N15" s="3"/>
      <c r="O15" s="3"/>
      <c r="P15" s="3"/>
      <c r="Q15" s="3"/>
      <c r="R15" s="3"/>
      <c r="S15" s="3"/>
      <c r="T15" s="3"/>
    </row>
    <row r="16" spans="1:22" ht="24.75" customHeight="1" x14ac:dyDescent="0.3">
      <c r="A16" s="32" t="s">
        <v>162</v>
      </c>
      <c r="B16" s="84">
        <f>1000000*6</f>
        <v>6000000</v>
      </c>
      <c r="C16" s="3"/>
      <c r="D16" s="3"/>
      <c r="E16" s="3"/>
      <c r="F16" s="3"/>
      <c r="G16" s="3"/>
      <c r="H16" s="3"/>
      <c r="I16" s="3"/>
      <c r="J16" s="3"/>
      <c r="K16" s="3"/>
      <c r="L16" s="3"/>
      <c r="M16" s="3"/>
      <c r="N16" s="3"/>
      <c r="O16" s="3"/>
      <c r="P16" s="3"/>
      <c r="Q16" s="3"/>
      <c r="R16" s="3"/>
      <c r="S16" s="3"/>
      <c r="T16" s="3"/>
      <c r="U16" s="3"/>
    </row>
    <row r="17" spans="1:22" ht="24.75" customHeight="1" x14ac:dyDescent="0.3">
      <c r="A17" s="32" t="s">
        <v>152</v>
      </c>
      <c r="B17" s="84">
        <f>1000000*20</f>
        <v>20000000</v>
      </c>
      <c r="C17" s="3"/>
      <c r="D17" s="3"/>
      <c r="E17" s="3"/>
      <c r="F17" s="3"/>
      <c r="G17" s="3"/>
      <c r="H17" s="3"/>
      <c r="I17" s="3"/>
      <c r="J17" s="3"/>
      <c r="K17" s="3"/>
      <c r="L17" s="3"/>
      <c r="M17" s="3"/>
      <c r="N17" s="3"/>
      <c r="O17" s="3"/>
      <c r="P17" s="3"/>
      <c r="Q17" s="3"/>
      <c r="R17" s="3"/>
      <c r="S17" s="3"/>
      <c r="T17" s="3"/>
      <c r="U17" s="3"/>
    </row>
    <row r="18" spans="1:22" ht="24.75" customHeight="1" x14ac:dyDescent="0.3">
      <c r="A18" s="32" t="s">
        <v>139</v>
      </c>
      <c r="B18" s="84">
        <f>1000000*80</f>
        <v>80000000</v>
      </c>
      <c r="C18" s="3"/>
      <c r="D18" s="3"/>
      <c r="E18" s="3"/>
      <c r="F18" s="3"/>
      <c r="G18" s="3"/>
      <c r="H18" s="3"/>
      <c r="I18" s="3"/>
      <c r="J18" s="3"/>
      <c r="K18" s="3"/>
      <c r="L18" s="3"/>
      <c r="M18" s="3"/>
      <c r="N18" s="3"/>
      <c r="O18" s="3"/>
      <c r="P18" s="3"/>
      <c r="Q18" s="3"/>
      <c r="R18" s="3"/>
      <c r="S18" s="3"/>
      <c r="T18" s="3"/>
      <c r="U18" s="3"/>
    </row>
    <row r="19" spans="1:22" ht="24.75" customHeight="1" x14ac:dyDescent="0.3">
      <c r="A19" s="21"/>
      <c r="B19" s="22"/>
      <c r="C19" s="3"/>
      <c r="D19" s="3"/>
      <c r="E19" s="3"/>
      <c r="F19" s="3"/>
      <c r="G19" s="3"/>
      <c r="H19" s="3"/>
      <c r="I19" s="3"/>
      <c r="J19" s="3"/>
      <c r="K19" s="3"/>
      <c r="L19" s="3"/>
      <c r="M19" s="3"/>
      <c r="N19" s="3"/>
      <c r="O19" s="3"/>
      <c r="P19" s="3"/>
      <c r="Q19" s="3"/>
      <c r="R19" s="3"/>
      <c r="S19" s="3"/>
      <c r="T19" s="3"/>
      <c r="U19" s="3"/>
      <c r="V19" s="3"/>
    </row>
    <row r="20" spans="1:22" ht="24.75" customHeight="1" x14ac:dyDescent="0.3">
      <c r="A20" s="21"/>
      <c r="B20" s="22"/>
      <c r="C20" s="3"/>
      <c r="D20" s="3"/>
      <c r="E20" s="3"/>
      <c r="F20" s="3"/>
      <c r="G20" s="3"/>
      <c r="H20" s="3"/>
      <c r="I20" s="3"/>
      <c r="J20" s="3"/>
      <c r="K20" s="3"/>
      <c r="L20" s="3"/>
      <c r="M20" s="3"/>
      <c r="N20" s="3"/>
      <c r="O20" s="3"/>
      <c r="P20" s="3"/>
      <c r="Q20" s="3"/>
      <c r="R20" s="3"/>
      <c r="S20" s="3"/>
      <c r="T20" s="3"/>
      <c r="U20" s="3"/>
      <c r="V20" s="3"/>
    </row>
    <row r="21" spans="1:22" ht="24.75" customHeight="1" x14ac:dyDescent="0.3">
      <c r="A21" s="21"/>
      <c r="B21" s="22"/>
      <c r="C21" s="3"/>
      <c r="D21" s="3"/>
      <c r="E21" s="3"/>
      <c r="F21" s="3"/>
      <c r="G21" s="3"/>
      <c r="H21" s="3"/>
      <c r="I21" s="3"/>
      <c r="J21" s="3"/>
      <c r="K21" s="3"/>
      <c r="L21" s="3"/>
      <c r="M21" s="3"/>
      <c r="N21" s="3"/>
      <c r="O21" s="3"/>
      <c r="P21" s="3"/>
      <c r="Q21" s="3"/>
      <c r="R21" s="3"/>
      <c r="S21" s="3"/>
      <c r="T21" s="3"/>
      <c r="U21" s="3"/>
      <c r="V21" s="3"/>
    </row>
    <row r="22" spans="1:22" ht="24.75" customHeight="1" x14ac:dyDescent="0.3">
      <c r="A22" s="21"/>
      <c r="B22" s="22"/>
      <c r="C22" s="3"/>
      <c r="D22" s="3"/>
      <c r="E22" s="3"/>
      <c r="F22" s="3"/>
      <c r="G22" s="3"/>
      <c r="H22" s="3"/>
      <c r="I22" s="3"/>
      <c r="J22" s="3"/>
      <c r="K22" s="3"/>
      <c r="L22" s="3"/>
      <c r="M22" s="3"/>
      <c r="N22" s="3"/>
      <c r="O22" s="3"/>
      <c r="P22" s="3"/>
      <c r="Q22" s="3"/>
      <c r="R22" s="3"/>
      <c r="S22" s="3"/>
      <c r="T22" s="3"/>
      <c r="U22" s="3"/>
      <c r="V22" s="3"/>
    </row>
    <row r="23" spans="1:22" ht="24.75" customHeight="1" x14ac:dyDescent="0.3">
      <c r="A23" s="21"/>
      <c r="B23" s="22"/>
      <c r="C23" s="3"/>
      <c r="D23" s="3"/>
      <c r="E23" s="3"/>
      <c r="F23" s="3"/>
      <c r="G23" s="3"/>
      <c r="H23" s="3"/>
      <c r="I23" s="3"/>
      <c r="J23" s="3"/>
      <c r="K23" s="3"/>
      <c r="L23" s="3"/>
      <c r="M23" s="3"/>
      <c r="N23" s="3"/>
      <c r="O23" s="3"/>
      <c r="P23" s="3"/>
      <c r="Q23" s="3"/>
      <c r="R23" s="3"/>
      <c r="S23" s="3"/>
      <c r="T23" s="3"/>
      <c r="U23" s="3"/>
      <c r="V23" s="3"/>
    </row>
    <row r="24" spans="1:22" ht="24.75" customHeight="1" x14ac:dyDescent="0.3">
      <c r="A24" s="21"/>
      <c r="B24" s="22"/>
      <c r="C24" s="3"/>
      <c r="D24" s="3"/>
      <c r="E24" s="3"/>
      <c r="F24" s="3"/>
      <c r="G24" s="3"/>
      <c r="H24" s="3"/>
      <c r="I24" s="3"/>
      <c r="J24" s="3"/>
      <c r="K24" s="3"/>
      <c r="L24" s="3"/>
      <c r="M24" s="3"/>
      <c r="N24" s="3"/>
      <c r="O24" s="3"/>
      <c r="P24" s="3"/>
      <c r="Q24" s="3"/>
      <c r="R24" s="3"/>
      <c r="S24" s="3"/>
      <c r="T24" s="3"/>
      <c r="U24" s="3"/>
      <c r="V24" s="3"/>
    </row>
    <row r="25" spans="1:22" ht="24.75" customHeight="1" x14ac:dyDescent="0.3">
      <c r="A25" s="21"/>
      <c r="B25" s="22"/>
      <c r="C25" s="3"/>
      <c r="D25" s="3"/>
      <c r="E25" s="3"/>
      <c r="F25" s="3"/>
      <c r="G25" s="3"/>
      <c r="H25" s="3"/>
      <c r="I25" s="3"/>
      <c r="J25" s="3"/>
      <c r="K25" s="3"/>
      <c r="L25" s="3"/>
      <c r="M25" s="3"/>
      <c r="N25" s="3"/>
      <c r="O25" s="3"/>
      <c r="P25" s="3"/>
      <c r="Q25" s="3"/>
      <c r="R25" s="3"/>
      <c r="S25" s="3"/>
      <c r="T25" s="3"/>
      <c r="U25" s="3"/>
      <c r="V25" s="3"/>
    </row>
    <row r="26" spans="1:22" ht="24.75" customHeight="1" x14ac:dyDescent="0.3">
      <c r="A26" s="21"/>
      <c r="B26" s="22"/>
      <c r="C26" s="3"/>
      <c r="D26" s="3"/>
      <c r="E26" s="3"/>
      <c r="F26" s="3"/>
      <c r="G26" s="3"/>
      <c r="H26" s="3"/>
      <c r="I26" s="3"/>
      <c r="J26" s="3"/>
      <c r="K26" s="3"/>
      <c r="L26" s="3"/>
      <c r="M26" s="3"/>
      <c r="N26" s="3"/>
      <c r="O26" s="3"/>
      <c r="P26" s="3"/>
      <c r="Q26" s="3"/>
      <c r="R26" s="3"/>
      <c r="S26" s="3"/>
      <c r="T26" s="3"/>
      <c r="U26" s="3"/>
      <c r="V26" s="3"/>
    </row>
    <row r="27" spans="1:22" ht="24.75" customHeight="1" x14ac:dyDescent="0.3">
      <c r="A27" s="21"/>
      <c r="B27" s="22"/>
      <c r="C27" s="3"/>
      <c r="D27" s="3"/>
      <c r="E27" s="3"/>
      <c r="F27" s="3"/>
      <c r="G27" s="3"/>
      <c r="H27" s="3"/>
      <c r="I27" s="3"/>
      <c r="J27" s="3"/>
      <c r="K27" s="3"/>
      <c r="L27" s="3"/>
      <c r="M27" s="3"/>
      <c r="N27" s="3"/>
      <c r="O27" s="3"/>
      <c r="P27" s="3"/>
      <c r="Q27" s="3"/>
      <c r="R27" s="3"/>
      <c r="S27" s="3"/>
      <c r="T27" s="3"/>
      <c r="U27" s="3"/>
      <c r="V27" s="3"/>
    </row>
    <row r="28" spans="1:22" ht="24.75" customHeight="1" x14ac:dyDescent="0.3">
      <c r="A28" s="21"/>
      <c r="B28" s="22"/>
      <c r="C28" s="3"/>
      <c r="D28" s="3"/>
      <c r="E28" s="3"/>
      <c r="F28" s="3"/>
      <c r="G28" s="3"/>
      <c r="H28" s="3"/>
      <c r="I28" s="3"/>
      <c r="J28" s="3"/>
      <c r="K28" s="3"/>
      <c r="L28" s="3"/>
      <c r="M28" s="3"/>
      <c r="N28" s="3"/>
      <c r="O28" s="3"/>
      <c r="P28" s="3"/>
      <c r="Q28" s="3"/>
      <c r="R28" s="3"/>
      <c r="S28" s="3"/>
      <c r="T28" s="3"/>
      <c r="U28" s="3"/>
      <c r="V28" s="3"/>
    </row>
    <row r="29" spans="1:22" ht="24.75" customHeight="1" x14ac:dyDescent="0.3">
      <c r="A29" s="21"/>
      <c r="B29" s="22"/>
      <c r="C29" s="3"/>
      <c r="D29" s="3"/>
      <c r="E29" s="3"/>
      <c r="F29" s="3"/>
      <c r="G29" s="3"/>
      <c r="H29" s="3"/>
      <c r="I29" s="3"/>
      <c r="J29" s="3"/>
      <c r="K29" s="3"/>
      <c r="L29" s="3"/>
      <c r="M29" s="3"/>
      <c r="N29" s="3"/>
      <c r="O29" s="3"/>
      <c r="P29" s="3"/>
      <c r="Q29" s="3"/>
      <c r="R29" s="3"/>
      <c r="S29" s="3"/>
      <c r="T29" s="3"/>
      <c r="U29" s="3"/>
      <c r="V29" s="3"/>
    </row>
    <row r="30" spans="1:22" ht="24.75" customHeight="1" x14ac:dyDescent="0.3">
      <c r="A30" s="21"/>
      <c r="B30" s="22"/>
      <c r="C30" s="3"/>
      <c r="D30" s="3"/>
      <c r="E30" s="3"/>
      <c r="F30" s="3"/>
      <c r="G30" s="3"/>
      <c r="H30" s="3"/>
      <c r="I30" s="3"/>
      <c r="J30" s="3"/>
      <c r="K30" s="3"/>
      <c r="L30" s="3"/>
      <c r="M30" s="3"/>
      <c r="N30" s="3"/>
      <c r="O30" s="3"/>
      <c r="P30" s="3"/>
      <c r="Q30" s="3"/>
      <c r="R30" s="3"/>
      <c r="S30" s="3"/>
      <c r="T30" s="3"/>
      <c r="U30" s="3"/>
      <c r="V30" s="3"/>
    </row>
    <row r="31" spans="1:22" ht="24.75" customHeight="1" x14ac:dyDescent="0.3">
      <c r="A31" s="3"/>
      <c r="B31" s="33"/>
      <c r="C31" s="3"/>
      <c r="D31" s="3"/>
      <c r="E31" s="3"/>
      <c r="F31" s="3"/>
      <c r="G31" s="3"/>
      <c r="H31" s="3"/>
      <c r="I31" s="3"/>
      <c r="J31" s="3"/>
      <c r="K31" s="3"/>
      <c r="L31" s="3"/>
      <c r="M31" s="3"/>
      <c r="N31" s="3"/>
      <c r="O31" s="3"/>
      <c r="P31" s="3"/>
      <c r="Q31" s="3"/>
      <c r="R31" s="3"/>
      <c r="S31" s="3"/>
      <c r="T31" s="3"/>
      <c r="U31" s="3"/>
      <c r="V31" s="3"/>
    </row>
    <row r="32" spans="1:22" ht="24.75" customHeight="1" x14ac:dyDescent="0.3">
      <c r="A32" s="3"/>
      <c r="B32" s="33"/>
      <c r="C32" s="3"/>
      <c r="D32" s="3"/>
      <c r="E32" s="3"/>
      <c r="F32" s="3"/>
      <c r="G32" s="3"/>
      <c r="H32" s="3"/>
      <c r="I32" s="3"/>
      <c r="J32" s="3"/>
      <c r="K32" s="3"/>
      <c r="L32" s="3"/>
      <c r="M32" s="3"/>
      <c r="N32" s="3"/>
      <c r="O32" s="3"/>
      <c r="P32" s="3"/>
      <c r="Q32" s="3"/>
      <c r="R32" s="3"/>
      <c r="S32" s="3"/>
      <c r="T32" s="3"/>
      <c r="U32" s="3"/>
      <c r="V32" s="3"/>
    </row>
    <row r="33" spans="1:22" ht="24.75" customHeight="1" x14ac:dyDescent="0.3">
      <c r="A33" s="3"/>
      <c r="B33" s="33"/>
      <c r="C33" s="3"/>
      <c r="D33" s="3"/>
      <c r="E33" s="3"/>
      <c r="F33" s="3"/>
      <c r="G33" s="3"/>
      <c r="H33" s="3"/>
      <c r="I33" s="3"/>
      <c r="J33" s="3"/>
      <c r="K33" s="3"/>
      <c r="L33" s="3"/>
      <c r="M33" s="3"/>
      <c r="N33" s="3"/>
      <c r="O33" s="3"/>
      <c r="P33" s="3"/>
      <c r="Q33" s="3"/>
      <c r="R33" s="3"/>
      <c r="S33" s="3"/>
      <c r="T33" s="3"/>
      <c r="U33" s="3"/>
      <c r="V33" s="3"/>
    </row>
    <row r="34" spans="1:22" ht="24.75" customHeight="1" x14ac:dyDescent="0.3">
      <c r="A34" s="3"/>
      <c r="B34" s="33"/>
      <c r="C34" s="3"/>
      <c r="D34" s="3"/>
      <c r="E34" s="3"/>
      <c r="F34" s="3"/>
      <c r="G34" s="3"/>
      <c r="H34" s="3"/>
      <c r="I34" s="3"/>
      <c r="J34" s="3"/>
      <c r="K34" s="3"/>
      <c r="L34" s="3"/>
      <c r="M34" s="3"/>
      <c r="N34" s="3"/>
      <c r="O34" s="3"/>
      <c r="P34" s="3"/>
      <c r="Q34" s="3"/>
      <c r="R34" s="3"/>
      <c r="S34" s="3"/>
      <c r="T34" s="3"/>
      <c r="U34" s="3"/>
      <c r="V34" s="3"/>
    </row>
    <row r="35" spans="1:22" ht="24.75" customHeight="1" x14ac:dyDescent="0.3">
      <c r="A35" s="3"/>
      <c r="B35" s="33"/>
      <c r="C35" s="3"/>
      <c r="D35" s="3"/>
      <c r="E35" s="3"/>
      <c r="F35" s="3"/>
      <c r="G35" s="3"/>
      <c r="H35" s="3"/>
      <c r="I35" s="3"/>
      <c r="J35" s="3"/>
      <c r="K35" s="3"/>
      <c r="L35" s="3"/>
      <c r="M35" s="3"/>
      <c r="N35" s="3"/>
      <c r="O35" s="3"/>
      <c r="P35" s="3"/>
      <c r="Q35" s="3"/>
      <c r="R35" s="3"/>
      <c r="S35" s="3"/>
      <c r="T35" s="3"/>
      <c r="U35" s="3"/>
      <c r="V35" s="3"/>
    </row>
    <row r="36" spans="1:22" ht="24.75" customHeight="1" x14ac:dyDescent="0.3">
      <c r="A36" s="3"/>
      <c r="B36" s="33"/>
      <c r="C36" s="3"/>
      <c r="D36" s="3"/>
      <c r="E36" s="3"/>
      <c r="F36" s="3"/>
      <c r="G36" s="3"/>
      <c r="H36" s="3"/>
      <c r="I36" s="3"/>
      <c r="J36" s="3"/>
      <c r="K36" s="3"/>
      <c r="L36" s="3"/>
      <c r="M36" s="3"/>
      <c r="N36" s="3"/>
      <c r="O36" s="3"/>
      <c r="P36" s="3"/>
      <c r="Q36" s="3"/>
      <c r="R36" s="3"/>
      <c r="S36" s="3"/>
      <c r="T36" s="3"/>
      <c r="U36" s="3"/>
      <c r="V36" s="3"/>
    </row>
    <row r="37" spans="1:22" ht="24.75" customHeight="1" x14ac:dyDescent="0.3">
      <c r="A37" s="3"/>
      <c r="B37" s="33"/>
      <c r="C37" s="3"/>
      <c r="D37" s="3"/>
      <c r="E37" s="3"/>
      <c r="F37" s="3"/>
      <c r="G37" s="3"/>
      <c r="H37" s="3"/>
      <c r="I37" s="3"/>
      <c r="J37" s="3"/>
      <c r="K37" s="3"/>
      <c r="L37" s="3"/>
      <c r="M37" s="3"/>
      <c r="N37" s="3"/>
      <c r="O37" s="3"/>
      <c r="P37" s="3"/>
      <c r="Q37" s="3"/>
      <c r="R37" s="3"/>
      <c r="S37" s="3"/>
      <c r="T37" s="3"/>
      <c r="U37" s="3"/>
      <c r="V37" s="3"/>
    </row>
    <row r="38" spans="1:22" ht="24.75" customHeight="1" x14ac:dyDescent="0.3">
      <c r="A38" s="3"/>
      <c r="B38" s="33"/>
      <c r="C38" s="3"/>
      <c r="D38" s="3"/>
      <c r="E38" s="3"/>
      <c r="F38" s="3"/>
      <c r="G38" s="3"/>
      <c r="H38" s="3"/>
      <c r="I38" s="3"/>
      <c r="J38" s="3"/>
      <c r="K38" s="3"/>
      <c r="L38" s="3"/>
      <c r="M38" s="3"/>
      <c r="N38" s="3"/>
      <c r="O38" s="3"/>
      <c r="P38" s="3"/>
      <c r="Q38" s="3"/>
      <c r="R38" s="3"/>
      <c r="S38" s="3"/>
      <c r="T38" s="3"/>
      <c r="U38" s="3"/>
      <c r="V38" s="3"/>
    </row>
    <row r="39" spans="1:22" ht="24.75" customHeight="1" x14ac:dyDescent="0.3">
      <c r="A39" s="3"/>
      <c r="B39" s="33"/>
      <c r="C39" s="3"/>
      <c r="D39" s="3"/>
      <c r="E39" s="3"/>
      <c r="F39" s="3"/>
      <c r="G39" s="3"/>
      <c r="H39" s="3"/>
      <c r="I39" s="3"/>
      <c r="J39" s="3"/>
      <c r="K39" s="3"/>
      <c r="L39" s="3"/>
      <c r="M39" s="3"/>
      <c r="N39" s="3"/>
      <c r="O39" s="3"/>
      <c r="P39" s="3"/>
      <c r="Q39" s="3"/>
      <c r="R39" s="3"/>
      <c r="S39" s="3"/>
      <c r="T39" s="3"/>
      <c r="U39" s="3"/>
      <c r="V39" s="3"/>
    </row>
    <row r="40" spans="1:22" ht="24.75" customHeight="1" x14ac:dyDescent="0.3">
      <c r="A40" s="3"/>
      <c r="B40" s="33"/>
      <c r="C40" s="3"/>
      <c r="D40" s="3"/>
      <c r="E40" s="3"/>
      <c r="F40" s="3"/>
      <c r="G40" s="3"/>
      <c r="H40" s="3"/>
      <c r="I40" s="3"/>
      <c r="J40" s="3"/>
      <c r="K40" s="3"/>
      <c r="L40" s="3"/>
      <c r="M40" s="3"/>
      <c r="N40" s="3"/>
      <c r="O40" s="3"/>
      <c r="P40" s="3"/>
      <c r="Q40" s="3"/>
      <c r="R40" s="3"/>
      <c r="S40" s="3"/>
      <c r="T40" s="3"/>
      <c r="U40" s="3"/>
      <c r="V40" s="3"/>
    </row>
    <row r="41" spans="1:22" ht="24.75" customHeight="1" x14ac:dyDescent="0.3">
      <c r="A41" s="3"/>
      <c r="B41" s="33"/>
      <c r="C41" s="3"/>
      <c r="D41" s="3"/>
      <c r="E41" s="3"/>
      <c r="F41" s="3"/>
      <c r="G41" s="3"/>
      <c r="H41" s="3"/>
      <c r="I41" s="3"/>
      <c r="J41" s="3"/>
      <c r="K41" s="3"/>
      <c r="L41" s="3"/>
      <c r="M41" s="3"/>
      <c r="N41" s="3"/>
      <c r="O41" s="3"/>
      <c r="P41" s="3"/>
      <c r="Q41" s="3"/>
      <c r="R41" s="3"/>
      <c r="S41" s="3"/>
      <c r="T41" s="3"/>
      <c r="U41" s="3"/>
      <c r="V41" s="3"/>
    </row>
    <row r="42" spans="1:22" ht="24.75" customHeight="1" x14ac:dyDescent="0.3">
      <c r="A42" s="3"/>
      <c r="B42" s="33"/>
      <c r="C42" s="3"/>
      <c r="D42" s="3"/>
      <c r="E42" s="3"/>
      <c r="F42" s="3"/>
      <c r="G42" s="3"/>
      <c r="H42" s="3"/>
      <c r="I42" s="3"/>
      <c r="J42" s="3"/>
      <c r="K42" s="3"/>
      <c r="L42" s="3"/>
      <c r="M42" s="3"/>
      <c r="N42" s="3"/>
      <c r="O42" s="3"/>
      <c r="P42" s="3"/>
      <c r="Q42" s="3"/>
      <c r="R42" s="3"/>
      <c r="S42" s="3"/>
      <c r="T42" s="3"/>
      <c r="U42" s="3"/>
      <c r="V42" s="3"/>
    </row>
    <row r="43" spans="1:22" ht="24.75" customHeight="1" x14ac:dyDescent="0.3">
      <c r="A43" s="3"/>
      <c r="B43" s="33"/>
      <c r="C43" s="3"/>
      <c r="D43" s="3"/>
      <c r="E43" s="3"/>
      <c r="F43" s="3"/>
      <c r="G43" s="3"/>
      <c r="H43" s="3"/>
      <c r="I43" s="3"/>
      <c r="J43" s="3"/>
      <c r="K43" s="3"/>
      <c r="L43" s="3"/>
      <c r="M43" s="3"/>
      <c r="N43" s="3"/>
      <c r="O43" s="3"/>
      <c r="P43" s="3"/>
      <c r="Q43" s="3"/>
      <c r="R43" s="3"/>
      <c r="S43" s="3"/>
      <c r="T43" s="3"/>
      <c r="U43" s="3"/>
      <c r="V43" s="3"/>
    </row>
    <row r="44" spans="1:22" ht="24.75" customHeight="1" x14ac:dyDescent="0.3">
      <c r="A44" s="3"/>
      <c r="B44" s="33"/>
      <c r="C44" s="3"/>
      <c r="D44" s="3"/>
      <c r="E44" s="3"/>
      <c r="F44" s="3"/>
      <c r="G44" s="3"/>
      <c r="H44" s="3"/>
      <c r="I44" s="3"/>
      <c r="J44" s="3"/>
      <c r="K44" s="3"/>
      <c r="L44" s="3"/>
      <c r="M44" s="3"/>
      <c r="N44" s="3"/>
      <c r="O44" s="3"/>
      <c r="P44" s="3"/>
      <c r="Q44" s="3"/>
      <c r="R44" s="3"/>
      <c r="S44" s="3"/>
      <c r="T44" s="3"/>
      <c r="U44" s="3"/>
      <c r="V44" s="3"/>
    </row>
    <row r="45" spans="1:22" ht="24.75" customHeight="1" x14ac:dyDescent="0.3">
      <c r="A45" s="3"/>
      <c r="B45" s="33"/>
      <c r="C45" s="3"/>
      <c r="D45" s="3"/>
      <c r="E45" s="3"/>
      <c r="F45" s="3"/>
      <c r="G45" s="3"/>
      <c r="H45" s="3"/>
      <c r="I45" s="3"/>
      <c r="J45" s="3"/>
      <c r="K45" s="3"/>
      <c r="L45" s="3"/>
      <c r="M45" s="3"/>
      <c r="N45" s="3"/>
      <c r="O45" s="3"/>
      <c r="P45" s="3"/>
      <c r="Q45" s="3"/>
      <c r="R45" s="3"/>
      <c r="S45" s="3"/>
      <c r="T45" s="3"/>
      <c r="U45" s="3"/>
      <c r="V45" s="3"/>
    </row>
    <row r="46" spans="1:22" ht="24.75" customHeight="1" x14ac:dyDescent="0.3">
      <c r="A46" s="3"/>
      <c r="B46" s="33"/>
      <c r="C46" s="3"/>
      <c r="D46" s="3"/>
      <c r="E46" s="3"/>
      <c r="F46" s="3"/>
      <c r="G46" s="3"/>
      <c r="H46" s="3"/>
      <c r="I46" s="3"/>
      <c r="J46" s="3"/>
      <c r="K46" s="3"/>
      <c r="L46" s="3"/>
      <c r="M46" s="3"/>
      <c r="N46" s="3"/>
      <c r="O46" s="3"/>
      <c r="P46" s="3"/>
      <c r="Q46" s="3"/>
      <c r="R46" s="3"/>
      <c r="S46" s="3"/>
      <c r="T46" s="3"/>
      <c r="U46" s="3"/>
      <c r="V46" s="3"/>
    </row>
    <row r="47" spans="1:22" ht="24.75" customHeight="1" x14ac:dyDescent="0.3">
      <c r="A47" s="3"/>
      <c r="B47" s="33"/>
      <c r="C47" s="3"/>
      <c r="D47" s="3"/>
      <c r="E47" s="3"/>
      <c r="F47" s="3"/>
      <c r="G47" s="3"/>
      <c r="H47" s="3"/>
      <c r="I47" s="3"/>
      <c r="J47" s="3"/>
      <c r="K47" s="3"/>
      <c r="L47" s="3"/>
      <c r="M47" s="3"/>
      <c r="N47" s="3"/>
      <c r="O47" s="3"/>
      <c r="P47" s="3"/>
      <c r="Q47" s="3"/>
      <c r="R47" s="3"/>
      <c r="S47" s="3"/>
      <c r="T47" s="3"/>
      <c r="U47" s="3"/>
      <c r="V47" s="3"/>
    </row>
    <row r="48" spans="1:22" ht="24.75" customHeight="1" x14ac:dyDescent="0.3">
      <c r="A48" s="3"/>
      <c r="B48" s="33"/>
      <c r="C48" s="3"/>
      <c r="D48" s="3"/>
      <c r="E48" s="3"/>
      <c r="F48" s="3"/>
      <c r="G48" s="3"/>
      <c r="H48" s="3"/>
      <c r="I48" s="3"/>
      <c r="J48" s="3"/>
      <c r="K48" s="3"/>
      <c r="L48" s="3"/>
      <c r="M48" s="3"/>
      <c r="N48" s="3"/>
      <c r="O48" s="3"/>
      <c r="P48" s="3"/>
      <c r="Q48" s="3"/>
      <c r="R48" s="3"/>
      <c r="S48" s="3"/>
      <c r="T48" s="3"/>
      <c r="U48" s="3"/>
      <c r="V48" s="3"/>
    </row>
    <row r="49" spans="1:22" ht="24.75" customHeight="1" x14ac:dyDescent="0.3">
      <c r="A49" s="3"/>
      <c r="B49" s="33"/>
      <c r="C49" s="3"/>
      <c r="D49" s="3"/>
      <c r="E49" s="3"/>
      <c r="F49" s="3"/>
      <c r="G49" s="3"/>
      <c r="H49" s="3"/>
      <c r="I49" s="3"/>
      <c r="J49" s="3"/>
      <c r="K49" s="3"/>
      <c r="L49" s="3"/>
      <c r="M49" s="3"/>
      <c r="N49" s="3"/>
      <c r="O49" s="3"/>
      <c r="P49" s="3"/>
      <c r="Q49" s="3"/>
      <c r="R49" s="3"/>
      <c r="S49" s="3"/>
      <c r="T49" s="3"/>
      <c r="U49" s="3"/>
      <c r="V49" s="3"/>
    </row>
    <row r="50" spans="1:22" ht="24.75" customHeight="1" x14ac:dyDescent="0.3">
      <c r="A50" s="3"/>
      <c r="B50" s="33"/>
      <c r="C50" s="3"/>
      <c r="D50" s="3"/>
      <c r="E50" s="3"/>
      <c r="F50" s="3"/>
      <c r="G50" s="3"/>
      <c r="H50" s="3"/>
      <c r="I50" s="3"/>
      <c r="J50" s="3"/>
      <c r="K50" s="3"/>
      <c r="L50" s="3"/>
      <c r="M50" s="3"/>
      <c r="N50" s="3"/>
      <c r="O50" s="3"/>
      <c r="P50" s="3"/>
      <c r="Q50" s="3"/>
      <c r="R50" s="3"/>
      <c r="S50" s="3"/>
      <c r="T50" s="3"/>
      <c r="U50" s="3"/>
      <c r="V50" s="3"/>
    </row>
    <row r="51" spans="1:22" ht="24.75" customHeight="1" x14ac:dyDescent="0.3">
      <c r="A51" s="3"/>
      <c r="B51" s="33"/>
      <c r="C51" s="3"/>
      <c r="D51" s="3"/>
      <c r="E51" s="3"/>
      <c r="F51" s="3"/>
      <c r="G51" s="3"/>
      <c r="H51" s="3"/>
      <c r="I51" s="3"/>
      <c r="J51" s="3"/>
      <c r="K51" s="3"/>
      <c r="L51" s="3"/>
      <c r="M51" s="3"/>
      <c r="N51" s="3"/>
      <c r="O51" s="3"/>
      <c r="P51" s="3"/>
      <c r="Q51" s="3"/>
      <c r="R51" s="3"/>
      <c r="S51" s="3"/>
      <c r="T51" s="3"/>
      <c r="U51" s="3"/>
      <c r="V51" s="3"/>
    </row>
    <row r="52" spans="1:22" ht="24.75" customHeight="1" x14ac:dyDescent="0.3">
      <c r="A52" s="3"/>
      <c r="B52" s="33"/>
      <c r="C52" s="3"/>
      <c r="D52" s="3"/>
      <c r="E52" s="3"/>
      <c r="F52" s="3"/>
      <c r="G52" s="3"/>
      <c r="H52" s="3"/>
      <c r="I52" s="3"/>
      <c r="J52" s="3"/>
      <c r="K52" s="3"/>
      <c r="L52" s="3"/>
      <c r="M52" s="3"/>
      <c r="N52" s="3"/>
      <c r="O52" s="3"/>
      <c r="P52" s="3"/>
      <c r="Q52" s="3"/>
      <c r="R52" s="3"/>
      <c r="S52" s="3"/>
      <c r="T52" s="3"/>
      <c r="U52" s="3"/>
      <c r="V52" s="3"/>
    </row>
    <row r="53" spans="1:22" ht="24.75" customHeight="1" x14ac:dyDescent="0.3">
      <c r="A53" s="3"/>
      <c r="B53" s="33"/>
      <c r="C53" s="3"/>
      <c r="D53" s="3"/>
      <c r="E53" s="3"/>
      <c r="F53" s="3"/>
      <c r="G53" s="3"/>
      <c r="H53" s="3"/>
      <c r="I53" s="3"/>
      <c r="J53" s="3"/>
      <c r="K53" s="3"/>
      <c r="L53" s="3"/>
      <c r="M53" s="3"/>
      <c r="N53" s="3"/>
      <c r="O53" s="3"/>
      <c r="P53" s="3"/>
      <c r="Q53" s="3"/>
      <c r="R53" s="3"/>
      <c r="S53" s="3"/>
      <c r="T53" s="3"/>
      <c r="U53" s="3"/>
      <c r="V53" s="3"/>
    </row>
    <row r="54" spans="1:22" ht="24.75" customHeight="1" x14ac:dyDescent="0.3">
      <c r="A54" s="3"/>
      <c r="B54" s="33"/>
      <c r="C54" s="3"/>
      <c r="D54" s="3"/>
      <c r="E54" s="3"/>
      <c r="F54" s="3"/>
      <c r="G54" s="3"/>
      <c r="H54" s="3"/>
      <c r="I54" s="3"/>
      <c r="J54" s="3"/>
      <c r="K54" s="3"/>
      <c r="L54" s="3"/>
      <c r="M54" s="3"/>
      <c r="N54" s="3"/>
      <c r="O54" s="3"/>
      <c r="P54" s="3"/>
      <c r="Q54" s="3"/>
      <c r="R54" s="3"/>
      <c r="S54" s="3"/>
      <c r="T54" s="3"/>
      <c r="U54" s="3"/>
      <c r="V54" s="3"/>
    </row>
    <row r="55" spans="1:22" ht="24.75" customHeight="1" x14ac:dyDescent="0.3">
      <c r="A55" s="3"/>
      <c r="B55" s="33"/>
      <c r="C55" s="3"/>
      <c r="D55" s="3"/>
      <c r="E55" s="3"/>
      <c r="F55" s="3"/>
      <c r="G55" s="3"/>
      <c r="H55" s="3"/>
      <c r="I55" s="3"/>
      <c r="J55" s="3"/>
      <c r="K55" s="3"/>
      <c r="L55" s="3"/>
      <c r="M55" s="3"/>
      <c r="N55" s="3"/>
      <c r="O55" s="3"/>
      <c r="P55" s="3"/>
      <c r="Q55" s="3"/>
      <c r="R55" s="3"/>
      <c r="S55" s="3"/>
      <c r="T55" s="3"/>
      <c r="U55" s="3"/>
      <c r="V55" s="3"/>
    </row>
    <row r="56" spans="1:22" ht="24.75" customHeight="1" x14ac:dyDescent="0.3">
      <c r="A56" s="3"/>
      <c r="B56" s="33"/>
      <c r="C56" s="3"/>
      <c r="D56" s="3"/>
      <c r="E56" s="3"/>
      <c r="F56" s="3"/>
      <c r="G56" s="3"/>
      <c r="H56" s="3"/>
      <c r="I56" s="3"/>
      <c r="J56" s="3"/>
      <c r="K56" s="3"/>
      <c r="L56" s="3"/>
      <c r="M56" s="3"/>
      <c r="N56" s="3"/>
      <c r="O56" s="3"/>
      <c r="P56" s="3"/>
      <c r="Q56" s="3"/>
      <c r="R56" s="3"/>
      <c r="S56" s="3"/>
      <c r="T56" s="3"/>
      <c r="U56" s="3"/>
      <c r="V56" s="3"/>
    </row>
    <row r="57" spans="1:22" ht="24.75" customHeight="1" x14ac:dyDescent="0.3">
      <c r="A57" s="3"/>
      <c r="B57" s="33"/>
      <c r="C57" s="3"/>
      <c r="D57" s="3"/>
      <c r="E57" s="3"/>
      <c r="F57" s="3"/>
      <c r="G57" s="3"/>
      <c r="H57" s="3"/>
      <c r="I57" s="3"/>
      <c r="J57" s="3"/>
      <c r="K57" s="3"/>
      <c r="L57" s="3"/>
      <c r="M57" s="3"/>
      <c r="N57" s="3"/>
      <c r="O57" s="3"/>
      <c r="P57" s="3"/>
      <c r="Q57" s="3"/>
      <c r="R57" s="3"/>
      <c r="S57" s="3"/>
      <c r="T57" s="3"/>
      <c r="U57" s="3"/>
      <c r="V57" s="3"/>
    </row>
    <row r="58" spans="1:22" ht="24.75" customHeight="1" x14ac:dyDescent="0.3">
      <c r="A58" s="3"/>
      <c r="B58" s="33"/>
      <c r="C58" s="3"/>
      <c r="D58" s="3"/>
      <c r="E58" s="3"/>
      <c r="F58" s="3"/>
      <c r="G58" s="3"/>
      <c r="H58" s="3"/>
      <c r="I58" s="3"/>
      <c r="J58" s="3"/>
      <c r="K58" s="3"/>
      <c r="L58" s="3"/>
      <c r="M58" s="3"/>
      <c r="N58" s="3"/>
      <c r="O58" s="3"/>
      <c r="P58" s="3"/>
      <c r="Q58" s="3"/>
      <c r="R58" s="3"/>
      <c r="S58" s="3"/>
      <c r="T58" s="3"/>
      <c r="U58" s="3"/>
      <c r="V58" s="3"/>
    </row>
    <row r="59" spans="1:22" ht="24.75" customHeight="1" x14ac:dyDescent="0.3">
      <c r="A59" s="3"/>
      <c r="B59" s="33"/>
      <c r="C59" s="3"/>
      <c r="D59" s="3"/>
      <c r="E59" s="3"/>
      <c r="F59" s="3"/>
      <c r="G59" s="3"/>
      <c r="H59" s="3"/>
      <c r="I59" s="3"/>
      <c r="J59" s="3"/>
      <c r="K59" s="3"/>
      <c r="L59" s="3"/>
      <c r="M59" s="3"/>
      <c r="N59" s="3"/>
      <c r="O59" s="3"/>
      <c r="P59" s="3"/>
      <c r="Q59" s="3"/>
      <c r="R59" s="3"/>
      <c r="S59" s="3"/>
      <c r="T59" s="3"/>
      <c r="U59" s="3"/>
      <c r="V59" s="3"/>
    </row>
    <row r="60" spans="1:22" ht="24.75" customHeight="1" x14ac:dyDescent="0.3">
      <c r="A60" s="3"/>
      <c r="B60" s="33"/>
      <c r="C60" s="3"/>
      <c r="D60" s="3"/>
      <c r="E60" s="3"/>
      <c r="F60" s="3"/>
      <c r="G60" s="3"/>
      <c r="H60" s="3"/>
      <c r="I60" s="3"/>
      <c r="J60" s="3"/>
      <c r="K60" s="3"/>
      <c r="L60" s="3"/>
      <c r="M60" s="3"/>
      <c r="N60" s="3"/>
      <c r="O60" s="3"/>
      <c r="P60" s="3"/>
      <c r="Q60" s="3"/>
      <c r="R60" s="3"/>
      <c r="S60" s="3"/>
      <c r="T60" s="3"/>
      <c r="U60" s="3"/>
      <c r="V60" s="3"/>
    </row>
    <row r="61" spans="1:22" ht="24.75" customHeight="1" x14ac:dyDescent="0.3">
      <c r="A61" s="3"/>
      <c r="B61" s="33"/>
      <c r="C61" s="3"/>
      <c r="D61" s="3"/>
      <c r="E61" s="3"/>
      <c r="F61" s="3"/>
      <c r="G61" s="3"/>
      <c r="H61" s="3"/>
      <c r="I61" s="3"/>
      <c r="J61" s="3"/>
      <c r="K61" s="3"/>
      <c r="L61" s="3"/>
      <c r="M61" s="3"/>
      <c r="N61" s="3"/>
      <c r="O61" s="3"/>
      <c r="P61" s="3"/>
      <c r="Q61" s="3"/>
      <c r="R61" s="3"/>
      <c r="S61" s="3"/>
      <c r="T61" s="3"/>
      <c r="U61" s="3"/>
      <c r="V61" s="3"/>
    </row>
    <row r="62" spans="1:22" ht="24.75" customHeight="1" x14ac:dyDescent="0.3">
      <c r="A62" s="3"/>
      <c r="B62" s="33"/>
      <c r="C62" s="3"/>
      <c r="D62" s="3"/>
      <c r="E62" s="3"/>
      <c r="F62" s="3"/>
      <c r="G62" s="3"/>
      <c r="H62" s="3"/>
      <c r="I62" s="3"/>
      <c r="J62" s="3"/>
      <c r="K62" s="3"/>
      <c r="L62" s="3"/>
      <c r="M62" s="3"/>
      <c r="N62" s="3"/>
      <c r="O62" s="3"/>
      <c r="P62" s="3"/>
      <c r="Q62" s="3"/>
      <c r="R62" s="3"/>
      <c r="S62" s="3"/>
      <c r="T62" s="3"/>
      <c r="U62" s="3"/>
      <c r="V62" s="3"/>
    </row>
    <row r="63" spans="1:22" ht="24.75" customHeight="1" x14ac:dyDescent="0.3">
      <c r="A63" s="3"/>
      <c r="B63" s="33"/>
      <c r="C63" s="3"/>
      <c r="D63" s="3"/>
      <c r="E63" s="3"/>
      <c r="F63" s="3"/>
      <c r="G63" s="3"/>
      <c r="H63" s="3"/>
      <c r="I63" s="3"/>
      <c r="J63" s="3"/>
      <c r="K63" s="3"/>
      <c r="L63" s="3"/>
      <c r="M63" s="3"/>
      <c r="N63" s="3"/>
      <c r="O63" s="3"/>
      <c r="P63" s="3"/>
      <c r="Q63" s="3"/>
      <c r="R63" s="3"/>
      <c r="S63" s="3"/>
      <c r="T63" s="3"/>
      <c r="U63" s="3"/>
      <c r="V63" s="3"/>
    </row>
    <row r="64" spans="1:22" ht="24.75" customHeight="1" x14ac:dyDescent="0.3">
      <c r="A64" s="3"/>
      <c r="B64" s="33"/>
      <c r="C64" s="3"/>
      <c r="D64" s="3"/>
      <c r="E64" s="3"/>
      <c r="F64" s="3"/>
      <c r="G64" s="3"/>
      <c r="H64" s="3"/>
      <c r="I64" s="3"/>
      <c r="J64" s="3"/>
      <c r="K64" s="3"/>
      <c r="L64" s="3"/>
      <c r="M64" s="3"/>
      <c r="N64" s="3"/>
      <c r="O64" s="3"/>
      <c r="P64" s="3"/>
      <c r="Q64" s="3"/>
      <c r="R64" s="3"/>
      <c r="S64" s="3"/>
      <c r="T64" s="3"/>
      <c r="U64" s="3"/>
      <c r="V64" s="3"/>
    </row>
    <row r="65" spans="1:22" ht="24.75" customHeight="1" x14ac:dyDescent="0.3">
      <c r="A65" s="3"/>
      <c r="B65" s="33"/>
      <c r="C65" s="3"/>
      <c r="D65" s="3"/>
      <c r="E65" s="3"/>
      <c r="F65" s="3"/>
      <c r="G65" s="3"/>
      <c r="H65" s="3"/>
      <c r="I65" s="3"/>
      <c r="J65" s="3"/>
      <c r="K65" s="3"/>
      <c r="L65" s="3"/>
      <c r="M65" s="3"/>
      <c r="N65" s="3"/>
      <c r="O65" s="3"/>
      <c r="P65" s="3"/>
      <c r="Q65" s="3"/>
      <c r="R65" s="3"/>
      <c r="S65" s="3"/>
      <c r="T65" s="3"/>
      <c r="U65" s="3"/>
      <c r="V65" s="3"/>
    </row>
    <row r="66" spans="1:22" ht="24.75" customHeight="1" x14ac:dyDescent="0.3">
      <c r="A66" s="3"/>
      <c r="B66" s="33"/>
      <c r="C66" s="3"/>
      <c r="D66" s="3"/>
      <c r="E66" s="3"/>
      <c r="F66" s="3"/>
      <c r="G66" s="3"/>
      <c r="H66" s="3"/>
      <c r="I66" s="3"/>
      <c r="J66" s="3"/>
      <c r="K66" s="3"/>
      <c r="L66" s="3"/>
      <c r="M66" s="3"/>
      <c r="N66" s="3"/>
      <c r="O66" s="3"/>
      <c r="P66" s="3"/>
      <c r="Q66" s="3"/>
      <c r="R66" s="3"/>
      <c r="S66" s="3"/>
      <c r="T66" s="3"/>
      <c r="U66" s="3"/>
      <c r="V66" s="3"/>
    </row>
    <row r="67" spans="1:22" ht="24.75" customHeight="1" x14ac:dyDescent="0.3">
      <c r="A67" s="3"/>
      <c r="B67" s="33"/>
      <c r="C67" s="3"/>
      <c r="D67" s="3"/>
      <c r="E67" s="3"/>
      <c r="F67" s="3"/>
      <c r="G67" s="3"/>
      <c r="H67" s="3"/>
      <c r="I67" s="3"/>
      <c r="J67" s="3"/>
      <c r="K67" s="3"/>
      <c r="L67" s="3"/>
      <c r="M67" s="3"/>
      <c r="N67" s="3"/>
      <c r="O67" s="3"/>
      <c r="P67" s="3"/>
      <c r="Q67" s="3"/>
      <c r="R67" s="3"/>
      <c r="S67" s="3"/>
      <c r="T67" s="3"/>
      <c r="U67" s="3"/>
      <c r="V67" s="3"/>
    </row>
    <row r="68" spans="1:22" ht="24.75" customHeight="1" x14ac:dyDescent="0.3">
      <c r="A68" s="3"/>
      <c r="B68" s="33"/>
      <c r="C68" s="3"/>
      <c r="D68" s="3"/>
      <c r="E68" s="3"/>
      <c r="F68" s="3"/>
      <c r="G68" s="3"/>
      <c r="H68" s="3"/>
      <c r="I68" s="3"/>
      <c r="J68" s="3"/>
      <c r="K68" s="3"/>
      <c r="L68" s="3"/>
      <c r="M68" s="3"/>
      <c r="N68" s="3"/>
      <c r="O68" s="3"/>
      <c r="P68" s="3"/>
      <c r="Q68" s="3"/>
      <c r="R68" s="3"/>
      <c r="S68" s="3"/>
      <c r="T68" s="3"/>
      <c r="U68" s="3"/>
      <c r="V68" s="3"/>
    </row>
    <row r="69" spans="1:22" ht="24.75" customHeight="1" x14ac:dyDescent="0.3">
      <c r="A69" s="3"/>
      <c r="B69" s="33"/>
      <c r="C69" s="3"/>
      <c r="D69" s="3"/>
      <c r="E69" s="3"/>
      <c r="F69" s="3"/>
      <c r="G69" s="3"/>
      <c r="H69" s="3"/>
      <c r="I69" s="3"/>
      <c r="J69" s="3"/>
      <c r="K69" s="3"/>
      <c r="L69" s="3"/>
      <c r="M69" s="3"/>
      <c r="N69" s="3"/>
      <c r="O69" s="3"/>
      <c r="P69" s="3"/>
      <c r="Q69" s="3"/>
      <c r="R69" s="3"/>
      <c r="S69" s="3"/>
      <c r="T69" s="3"/>
      <c r="U69" s="3"/>
      <c r="V69" s="3"/>
    </row>
    <row r="70" spans="1:22" ht="24.75" customHeight="1" x14ac:dyDescent="0.3">
      <c r="A70" s="3"/>
      <c r="B70" s="33"/>
      <c r="C70" s="3"/>
      <c r="D70" s="3"/>
      <c r="E70" s="3"/>
      <c r="F70" s="3"/>
      <c r="G70" s="3"/>
      <c r="H70" s="3"/>
      <c r="I70" s="3"/>
      <c r="J70" s="3"/>
      <c r="K70" s="3"/>
      <c r="L70" s="3"/>
      <c r="M70" s="3"/>
      <c r="N70" s="3"/>
      <c r="O70" s="3"/>
      <c r="P70" s="3"/>
      <c r="Q70" s="3"/>
      <c r="R70" s="3"/>
      <c r="S70" s="3"/>
      <c r="T70" s="3"/>
      <c r="U70" s="3"/>
      <c r="V70" s="3"/>
    </row>
    <row r="71" spans="1:22" ht="24.75" customHeight="1" x14ac:dyDescent="0.3">
      <c r="A71" s="3"/>
      <c r="B71" s="33"/>
      <c r="C71" s="3"/>
      <c r="D71" s="3"/>
      <c r="E71" s="3"/>
      <c r="F71" s="3"/>
      <c r="G71" s="3"/>
      <c r="H71" s="3"/>
      <c r="I71" s="3"/>
      <c r="J71" s="3"/>
      <c r="K71" s="3"/>
      <c r="L71" s="3"/>
      <c r="M71" s="3"/>
      <c r="N71" s="3"/>
      <c r="O71" s="3"/>
      <c r="P71" s="3"/>
      <c r="Q71" s="3"/>
      <c r="R71" s="3"/>
      <c r="S71" s="3"/>
      <c r="T71" s="3"/>
      <c r="U71" s="3"/>
      <c r="V71" s="3"/>
    </row>
    <row r="72" spans="1:22" ht="24.75" customHeight="1" x14ac:dyDescent="0.3">
      <c r="A72" s="3"/>
      <c r="B72" s="33"/>
      <c r="C72" s="3"/>
      <c r="D72" s="3"/>
      <c r="E72" s="3"/>
      <c r="F72" s="3"/>
      <c r="G72" s="3"/>
      <c r="H72" s="3"/>
      <c r="I72" s="3"/>
      <c r="J72" s="3"/>
      <c r="K72" s="3"/>
      <c r="L72" s="3"/>
      <c r="M72" s="3"/>
      <c r="N72" s="3"/>
      <c r="O72" s="3"/>
      <c r="P72" s="3"/>
      <c r="Q72" s="3"/>
      <c r="R72" s="3"/>
      <c r="S72" s="3"/>
      <c r="T72" s="3"/>
      <c r="U72" s="3"/>
      <c r="V72" s="3"/>
    </row>
    <row r="73" spans="1:22" ht="24.75" customHeight="1" x14ac:dyDescent="0.3">
      <c r="A73" s="3"/>
      <c r="B73" s="33"/>
      <c r="C73" s="3"/>
      <c r="D73" s="3"/>
      <c r="E73" s="3"/>
      <c r="F73" s="3"/>
      <c r="G73" s="3"/>
      <c r="H73" s="3"/>
      <c r="I73" s="3"/>
      <c r="J73" s="3"/>
      <c r="K73" s="3"/>
      <c r="L73" s="3"/>
      <c r="M73" s="3"/>
      <c r="N73" s="3"/>
      <c r="O73" s="3"/>
      <c r="P73" s="3"/>
      <c r="Q73" s="3"/>
      <c r="R73" s="3"/>
      <c r="S73" s="3"/>
      <c r="T73" s="3"/>
      <c r="U73" s="3"/>
      <c r="V73" s="3"/>
    </row>
    <row r="74" spans="1:22" ht="24.75" customHeight="1" x14ac:dyDescent="0.3">
      <c r="A74" s="3"/>
      <c r="B74" s="33"/>
      <c r="C74" s="3"/>
      <c r="D74" s="3"/>
      <c r="E74" s="3"/>
      <c r="F74" s="3"/>
      <c r="G74" s="3"/>
      <c r="H74" s="3"/>
      <c r="I74" s="3"/>
      <c r="J74" s="3"/>
      <c r="K74" s="3"/>
      <c r="L74" s="3"/>
      <c r="M74" s="3"/>
      <c r="N74" s="3"/>
      <c r="O74" s="3"/>
      <c r="P74" s="3"/>
      <c r="Q74" s="3"/>
      <c r="R74" s="3"/>
      <c r="S74" s="3"/>
      <c r="T74" s="3"/>
      <c r="U74" s="3"/>
      <c r="V74" s="3"/>
    </row>
    <row r="75" spans="1:22" ht="24.75" customHeight="1" x14ac:dyDescent="0.3">
      <c r="A75" s="3"/>
      <c r="B75" s="33"/>
      <c r="C75" s="3"/>
      <c r="D75" s="3"/>
      <c r="E75" s="3"/>
      <c r="F75" s="3"/>
      <c r="G75" s="3"/>
      <c r="H75" s="3"/>
      <c r="I75" s="3"/>
      <c r="J75" s="3"/>
      <c r="K75" s="3"/>
      <c r="L75" s="3"/>
      <c r="M75" s="3"/>
      <c r="N75" s="3"/>
      <c r="O75" s="3"/>
      <c r="P75" s="3"/>
      <c r="Q75" s="3"/>
      <c r="R75" s="3"/>
      <c r="S75" s="3"/>
      <c r="T75" s="3"/>
      <c r="U75" s="3"/>
      <c r="V75" s="3"/>
    </row>
    <row r="76" spans="1:22" ht="24.75" customHeight="1" x14ac:dyDescent="0.3">
      <c r="A76" s="3"/>
      <c r="B76" s="33"/>
      <c r="C76" s="3"/>
      <c r="D76" s="3"/>
      <c r="E76" s="3"/>
      <c r="F76" s="3"/>
      <c r="G76" s="3"/>
      <c r="H76" s="3"/>
      <c r="I76" s="3"/>
      <c r="J76" s="3"/>
      <c r="K76" s="3"/>
      <c r="L76" s="3"/>
      <c r="M76" s="3"/>
      <c r="N76" s="3"/>
      <c r="O76" s="3"/>
      <c r="P76" s="3"/>
      <c r="Q76" s="3"/>
      <c r="R76" s="3"/>
      <c r="S76" s="3"/>
      <c r="T76" s="3"/>
      <c r="U76" s="3"/>
      <c r="V76" s="3"/>
    </row>
    <row r="77" spans="1:22" ht="24.75" customHeight="1" x14ac:dyDescent="0.3">
      <c r="A77" s="3"/>
      <c r="B77" s="33"/>
      <c r="C77" s="3"/>
      <c r="D77" s="3"/>
      <c r="E77" s="3"/>
      <c r="F77" s="3"/>
      <c r="G77" s="3"/>
      <c r="H77" s="3"/>
      <c r="I77" s="3"/>
      <c r="J77" s="3"/>
      <c r="K77" s="3"/>
      <c r="L77" s="3"/>
      <c r="M77" s="3"/>
      <c r="N77" s="3"/>
      <c r="O77" s="3"/>
      <c r="P77" s="3"/>
      <c r="Q77" s="3"/>
      <c r="R77" s="3"/>
      <c r="S77" s="3"/>
      <c r="T77" s="3"/>
      <c r="U77" s="3"/>
      <c r="V77" s="3"/>
    </row>
    <row r="78" spans="1:22" ht="24.75" customHeight="1" x14ac:dyDescent="0.3">
      <c r="A78" s="3"/>
      <c r="B78" s="33"/>
      <c r="C78" s="3"/>
      <c r="D78" s="3"/>
      <c r="E78" s="3"/>
      <c r="F78" s="3"/>
      <c r="G78" s="3"/>
      <c r="H78" s="3"/>
      <c r="I78" s="3"/>
      <c r="J78" s="3"/>
      <c r="K78" s="3"/>
      <c r="L78" s="3"/>
      <c r="M78" s="3"/>
      <c r="N78" s="3"/>
      <c r="O78" s="3"/>
      <c r="P78" s="3"/>
      <c r="Q78" s="3"/>
      <c r="R78" s="3"/>
      <c r="S78" s="3"/>
      <c r="T78" s="3"/>
      <c r="U78" s="3"/>
      <c r="V78" s="3"/>
    </row>
    <row r="79" spans="1:22" ht="24.75" customHeight="1" x14ac:dyDescent="0.3">
      <c r="A79" s="3"/>
      <c r="B79" s="33"/>
      <c r="C79" s="3"/>
      <c r="D79" s="3"/>
      <c r="E79" s="3"/>
      <c r="F79" s="3"/>
      <c r="G79" s="3"/>
      <c r="H79" s="3"/>
      <c r="I79" s="3"/>
      <c r="J79" s="3"/>
      <c r="K79" s="3"/>
      <c r="L79" s="3"/>
      <c r="M79" s="3"/>
      <c r="N79" s="3"/>
      <c r="O79" s="3"/>
      <c r="P79" s="3"/>
      <c r="Q79" s="3"/>
      <c r="R79" s="3"/>
      <c r="S79" s="3"/>
      <c r="T79" s="3"/>
      <c r="U79" s="3"/>
      <c r="V79" s="3"/>
    </row>
    <row r="80" spans="1:22" ht="24.75" customHeight="1" x14ac:dyDescent="0.3">
      <c r="A80" s="3"/>
      <c r="B80" s="33"/>
      <c r="C80" s="3"/>
      <c r="D80" s="3"/>
      <c r="E80" s="3"/>
      <c r="F80" s="3"/>
      <c r="G80" s="3"/>
      <c r="H80" s="3"/>
      <c r="I80" s="3"/>
      <c r="J80" s="3"/>
      <c r="K80" s="3"/>
      <c r="L80" s="3"/>
      <c r="M80" s="3"/>
      <c r="N80" s="3"/>
      <c r="O80" s="3"/>
      <c r="P80" s="3"/>
      <c r="Q80" s="3"/>
      <c r="R80" s="3"/>
      <c r="S80" s="3"/>
      <c r="T80" s="3"/>
      <c r="U80" s="3"/>
      <c r="V80" s="3"/>
    </row>
    <row r="81" spans="1:22" ht="24.75" customHeight="1" x14ac:dyDescent="0.3">
      <c r="A81" s="3"/>
      <c r="B81" s="33"/>
      <c r="C81" s="3"/>
      <c r="D81" s="3"/>
      <c r="E81" s="3"/>
      <c r="F81" s="3"/>
      <c r="G81" s="3"/>
      <c r="H81" s="3"/>
      <c r="I81" s="3"/>
      <c r="J81" s="3"/>
      <c r="K81" s="3"/>
      <c r="L81" s="3"/>
      <c r="M81" s="3"/>
      <c r="N81" s="3"/>
      <c r="O81" s="3"/>
      <c r="P81" s="3"/>
      <c r="Q81" s="3"/>
      <c r="R81" s="3"/>
      <c r="S81" s="3"/>
      <c r="T81" s="3"/>
      <c r="U81" s="3"/>
      <c r="V81" s="3"/>
    </row>
    <row r="82" spans="1:22" ht="24.75" customHeight="1" x14ac:dyDescent="0.3">
      <c r="A82" s="3"/>
      <c r="B82" s="33"/>
      <c r="C82" s="3"/>
      <c r="D82" s="3"/>
      <c r="E82" s="3"/>
      <c r="F82" s="3"/>
      <c r="G82" s="3"/>
      <c r="H82" s="3"/>
      <c r="I82" s="3"/>
      <c r="J82" s="3"/>
      <c r="K82" s="3"/>
      <c r="L82" s="3"/>
      <c r="M82" s="3"/>
      <c r="N82" s="3"/>
      <c r="O82" s="3"/>
      <c r="P82" s="3"/>
      <c r="Q82" s="3"/>
      <c r="R82" s="3"/>
      <c r="S82" s="3"/>
      <c r="T82" s="3"/>
      <c r="U82" s="3"/>
      <c r="V82" s="3"/>
    </row>
    <row r="83" spans="1:22" ht="24.75" customHeight="1" x14ac:dyDescent="0.3">
      <c r="A83" s="3"/>
      <c r="B83" s="33"/>
      <c r="C83" s="3"/>
      <c r="D83" s="3"/>
      <c r="E83" s="3"/>
      <c r="F83" s="3"/>
      <c r="G83" s="3"/>
      <c r="H83" s="3"/>
      <c r="I83" s="3"/>
      <c r="J83" s="3"/>
      <c r="K83" s="3"/>
      <c r="L83" s="3"/>
      <c r="M83" s="3"/>
      <c r="N83" s="3"/>
      <c r="O83" s="3"/>
      <c r="P83" s="3"/>
      <c r="Q83" s="3"/>
      <c r="R83" s="3"/>
      <c r="S83" s="3"/>
      <c r="T83" s="3"/>
      <c r="U83" s="3"/>
      <c r="V83" s="3"/>
    </row>
    <row r="84" spans="1:22" ht="24.75" customHeight="1" x14ac:dyDescent="0.3">
      <c r="A84" s="3"/>
      <c r="B84" s="33"/>
      <c r="C84" s="3"/>
      <c r="D84" s="3"/>
      <c r="E84" s="3"/>
      <c r="F84" s="3"/>
      <c r="G84" s="3"/>
      <c r="H84" s="3"/>
      <c r="I84" s="3"/>
      <c r="J84" s="3"/>
      <c r="K84" s="3"/>
      <c r="L84" s="3"/>
      <c r="M84" s="3"/>
      <c r="N84" s="3"/>
      <c r="O84" s="3"/>
      <c r="P84" s="3"/>
      <c r="Q84" s="3"/>
      <c r="R84" s="3"/>
      <c r="S84" s="3"/>
      <c r="T84" s="3"/>
      <c r="U84" s="3"/>
      <c r="V84" s="3"/>
    </row>
    <row r="85" spans="1:22" ht="24.75" customHeight="1" x14ac:dyDescent="0.3">
      <c r="A85" s="3"/>
      <c r="B85" s="33"/>
      <c r="C85" s="3"/>
      <c r="D85" s="3"/>
      <c r="E85" s="3"/>
      <c r="F85" s="3"/>
      <c r="G85" s="3"/>
      <c r="H85" s="3"/>
      <c r="I85" s="3"/>
      <c r="J85" s="3"/>
      <c r="K85" s="3"/>
      <c r="L85" s="3"/>
      <c r="M85" s="3"/>
      <c r="N85" s="3"/>
      <c r="O85" s="3"/>
      <c r="P85" s="3"/>
      <c r="Q85" s="3"/>
      <c r="R85" s="3"/>
      <c r="S85" s="3"/>
      <c r="T85" s="3"/>
      <c r="U85" s="3"/>
      <c r="V85" s="3"/>
    </row>
    <row r="86" spans="1:22" ht="24.75" customHeight="1" x14ac:dyDescent="0.3">
      <c r="A86" s="3"/>
      <c r="B86" s="33"/>
      <c r="C86" s="3"/>
      <c r="D86" s="3"/>
      <c r="E86" s="3"/>
      <c r="F86" s="3"/>
      <c r="G86" s="3"/>
      <c r="H86" s="3"/>
      <c r="I86" s="3"/>
      <c r="J86" s="3"/>
      <c r="K86" s="3"/>
      <c r="L86" s="3"/>
      <c r="M86" s="3"/>
      <c r="N86" s="3"/>
      <c r="O86" s="3"/>
      <c r="P86" s="3"/>
      <c r="Q86" s="3"/>
      <c r="R86" s="3"/>
      <c r="S86" s="3"/>
      <c r="T86" s="3"/>
      <c r="U86" s="3"/>
      <c r="V86" s="3"/>
    </row>
    <row r="87" spans="1:22" ht="24.75" customHeight="1" x14ac:dyDescent="0.3">
      <c r="A87" s="3"/>
      <c r="B87" s="33"/>
      <c r="C87" s="3"/>
      <c r="D87" s="3"/>
      <c r="E87" s="3"/>
      <c r="F87" s="3"/>
      <c r="G87" s="3"/>
      <c r="H87" s="3"/>
      <c r="I87" s="3"/>
      <c r="J87" s="3"/>
      <c r="K87" s="3"/>
      <c r="L87" s="3"/>
      <c r="M87" s="3"/>
      <c r="N87" s="3"/>
      <c r="O87" s="3"/>
      <c r="P87" s="3"/>
      <c r="Q87" s="3"/>
      <c r="R87" s="3"/>
      <c r="S87" s="3"/>
      <c r="T87" s="3"/>
      <c r="U87" s="3"/>
      <c r="V87" s="3"/>
    </row>
    <row r="88" spans="1:22" ht="24.75" customHeight="1" x14ac:dyDescent="0.3">
      <c r="A88" s="3"/>
      <c r="B88" s="33"/>
      <c r="C88" s="3"/>
      <c r="D88" s="3"/>
      <c r="E88" s="3"/>
      <c r="F88" s="3"/>
      <c r="G88" s="3"/>
      <c r="H88" s="3"/>
      <c r="I88" s="3"/>
      <c r="J88" s="3"/>
      <c r="K88" s="3"/>
      <c r="L88" s="3"/>
      <c r="M88" s="3"/>
      <c r="N88" s="3"/>
      <c r="O88" s="3"/>
      <c r="P88" s="3"/>
      <c r="Q88" s="3"/>
      <c r="R88" s="3"/>
      <c r="S88" s="3"/>
      <c r="T88" s="3"/>
      <c r="U88" s="3"/>
      <c r="V88" s="3"/>
    </row>
    <row r="89" spans="1:22" ht="24.75" customHeight="1" x14ac:dyDescent="0.3">
      <c r="A89" s="3"/>
      <c r="B89" s="33"/>
      <c r="C89" s="3"/>
      <c r="D89" s="3"/>
      <c r="E89" s="3"/>
      <c r="F89" s="3"/>
      <c r="G89" s="3"/>
      <c r="H89" s="3"/>
      <c r="I89" s="3"/>
      <c r="J89" s="3"/>
      <c r="K89" s="3"/>
      <c r="L89" s="3"/>
      <c r="M89" s="3"/>
      <c r="N89" s="3"/>
      <c r="O89" s="3"/>
      <c r="P89" s="3"/>
      <c r="Q89" s="3"/>
      <c r="R89" s="3"/>
      <c r="S89" s="3"/>
      <c r="T89" s="3"/>
      <c r="U89" s="3"/>
      <c r="V89" s="3"/>
    </row>
    <row r="90" spans="1:22" ht="24.75" customHeight="1" x14ac:dyDescent="0.3">
      <c r="A90" s="3"/>
      <c r="B90" s="33"/>
      <c r="C90" s="3"/>
      <c r="D90" s="3"/>
      <c r="E90" s="3"/>
      <c r="F90" s="3"/>
      <c r="G90" s="3"/>
      <c r="H90" s="3"/>
      <c r="I90" s="3"/>
      <c r="J90" s="3"/>
      <c r="K90" s="3"/>
      <c r="L90" s="3"/>
      <c r="M90" s="3"/>
      <c r="N90" s="3"/>
      <c r="O90" s="3"/>
      <c r="P90" s="3"/>
      <c r="Q90" s="3"/>
      <c r="R90" s="3"/>
      <c r="S90" s="3"/>
      <c r="T90" s="3"/>
      <c r="U90" s="3"/>
      <c r="V90" s="3"/>
    </row>
    <row r="91" spans="1:22" ht="24.75" customHeight="1" x14ac:dyDescent="0.3">
      <c r="A91" s="3"/>
      <c r="B91" s="33"/>
      <c r="C91" s="3"/>
      <c r="D91" s="3"/>
      <c r="E91" s="3"/>
      <c r="F91" s="3"/>
      <c r="G91" s="3"/>
      <c r="H91" s="3"/>
      <c r="I91" s="3"/>
      <c r="J91" s="3"/>
      <c r="K91" s="3"/>
      <c r="L91" s="3"/>
      <c r="M91" s="3"/>
      <c r="N91" s="3"/>
      <c r="O91" s="3"/>
      <c r="P91" s="3"/>
      <c r="Q91" s="3"/>
      <c r="R91" s="3"/>
      <c r="S91" s="3"/>
      <c r="T91" s="3"/>
      <c r="U91" s="3"/>
      <c r="V91" s="3"/>
    </row>
    <row r="92" spans="1:22" ht="24.75" customHeight="1" x14ac:dyDescent="0.3">
      <c r="A92" s="3"/>
      <c r="B92" s="33"/>
      <c r="C92" s="3"/>
      <c r="D92" s="3"/>
      <c r="E92" s="3"/>
      <c r="F92" s="3"/>
      <c r="G92" s="3"/>
      <c r="H92" s="3"/>
      <c r="I92" s="3"/>
      <c r="J92" s="3"/>
      <c r="K92" s="3"/>
      <c r="L92" s="3"/>
      <c r="M92" s="3"/>
      <c r="N92" s="3"/>
      <c r="O92" s="3"/>
      <c r="P92" s="3"/>
      <c r="Q92" s="3"/>
      <c r="R92" s="3"/>
      <c r="S92" s="3"/>
      <c r="T92" s="3"/>
      <c r="U92" s="3"/>
      <c r="V92" s="3"/>
    </row>
    <row r="93" spans="1:22" ht="24.75" customHeight="1" x14ac:dyDescent="0.3">
      <c r="A93" s="3"/>
      <c r="B93" s="33"/>
      <c r="C93" s="3"/>
      <c r="D93" s="3"/>
      <c r="E93" s="3"/>
      <c r="F93" s="3"/>
      <c r="G93" s="3"/>
      <c r="H93" s="3"/>
      <c r="I93" s="3"/>
      <c r="J93" s="3"/>
      <c r="K93" s="3"/>
      <c r="L93" s="3"/>
      <c r="M93" s="3"/>
      <c r="N93" s="3"/>
      <c r="O93" s="3"/>
      <c r="P93" s="3"/>
      <c r="Q93" s="3"/>
      <c r="R93" s="3"/>
      <c r="S93" s="3"/>
      <c r="T93" s="3"/>
      <c r="U93" s="3"/>
      <c r="V93" s="3"/>
    </row>
    <row r="94" spans="1:22" ht="24.75" customHeight="1" x14ac:dyDescent="0.3">
      <c r="A94" s="3"/>
      <c r="B94" s="33"/>
      <c r="C94" s="3"/>
      <c r="D94" s="3"/>
      <c r="E94" s="3"/>
      <c r="F94" s="3"/>
      <c r="G94" s="3"/>
      <c r="H94" s="3"/>
      <c r="I94" s="3"/>
      <c r="J94" s="3"/>
      <c r="K94" s="3"/>
      <c r="L94" s="3"/>
      <c r="M94" s="3"/>
      <c r="N94" s="3"/>
      <c r="O94" s="3"/>
      <c r="P94" s="3"/>
      <c r="Q94" s="3"/>
      <c r="R94" s="3"/>
      <c r="S94" s="3"/>
      <c r="T94" s="3"/>
      <c r="U94" s="3"/>
      <c r="V94" s="3"/>
    </row>
    <row r="95" spans="1:22" ht="24.75" customHeight="1" x14ac:dyDescent="0.3">
      <c r="A95" s="3"/>
      <c r="B95" s="33"/>
      <c r="C95" s="3"/>
      <c r="D95" s="3"/>
      <c r="E95" s="3"/>
      <c r="F95" s="3"/>
      <c r="G95" s="3"/>
      <c r="H95" s="3"/>
      <c r="I95" s="3"/>
      <c r="J95" s="3"/>
      <c r="K95" s="3"/>
      <c r="L95" s="3"/>
      <c r="M95" s="3"/>
      <c r="N95" s="3"/>
      <c r="O95" s="3"/>
      <c r="P95" s="3"/>
      <c r="Q95" s="3"/>
      <c r="R95" s="3"/>
      <c r="S95" s="3"/>
      <c r="T95" s="3"/>
      <c r="U95" s="3"/>
      <c r="V95" s="3"/>
    </row>
    <row r="96" spans="1:22" ht="24.75" customHeight="1" x14ac:dyDescent="0.3">
      <c r="A96" s="3"/>
      <c r="B96" s="33"/>
      <c r="C96" s="3"/>
      <c r="D96" s="3"/>
      <c r="E96" s="3"/>
      <c r="F96" s="3"/>
      <c r="G96" s="3"/>
      <c r="H96" s="3"/>
      <c r="I96" s="3"/>
      <c r="J96" s="3"/>
      <c r="K96" s="3"/>
      <c r="L96" s="3"/>
      <c r="M96" s="3"/>
      <c r="N96" s="3"/>
      <c r="O96" s="3"/>
      <c r="P96" s="3"/>
      <c r="Q96" s="3"/>
      <c r="R96" s="3"/>
      <c r="S96" s="3"/>
      <c r="T96" s="3"/>
      <c r="U96" s="3"/>
      <c r="V96" s="3"/>
    </row>
    <row r="97" spans="1:22" ht="24.75" customHeight="1" x14ac:dyDescent="0.3">
      <c r="A97" s="3"/>
      <c r="B97" s="33"/>
      <c r="C97" s="3"/>
      <c r="D97" s="3"/>
      <c r="E97" s="3"/>
      <c r="F97" s="3"/>
      <c r="G97" s="3"/>
      <c r="H97" s="3"/>
      <c r="I97" s="3"/>
      <c r="J97" s="3"/>
      <c r="K97" s="3"/>
      <c r="L97" s="3"/>
      <c r="M97" s="3"/>
      <c r="N97" s="3"/>
      <c r="O97" s="3"/>
      <c r="P97" s="3"/>
      <c r="Q97" s="3"/>
      <c r="R97" s="3"/>
      <c r="S97" s="3"/>
      <c r="T97" s="3"/>
      <c r="U97" s="3"/>
      <c r="V97" s="3"/>
    </row>
    <row r="98" spans="1:22" ht="24.75" customHeight="1" x14ac:dyDescent="0.3">
      <c r="A98" s="3"/>
      <c r="B98" s="33"/>
      <c r="C98" s="3"/>
      <c r="D98" s="3"/>
      <c r="E98" s="3"/>
      <c r="F98" s="3"/>
      <c r="G98" s="3"/>
      <c r="H98" s="3"/>
      <c r="I98" s="3"/>
      <c r="J98" s="3"/>
      <c r="K98" s="3"/>
      <c r="L98" s="3"/>
      <c r="M98" s="3"/>
      <c r="N98" s="3"/>
      <c r="O98" s="3"/>
      <c r="P98" s="3"/>
      <c r="Q98" s="3"/>
      <c r="R98" s="3"/>
      <c r="S98" s="3"/>
      <c r="T98" s="3"/>
      <c r="U98" s="3"/>
      <c r="V98" s="3"/>
    </row>
    <row r="99" spans="1:22" ht="24.75" customHeight="1" x14ac:dyDescent="0.3">
      <c r="A99" s="3"/>
      <c r="B99" s="33"/>
      <c r="C99" s="3"/>
      <c r="D99" s="3"/>
      <c r="E99" s="3"/>
      <c r="F99" s="3"/>
      <c r="G99" s="3"/>
      <c r="H99" s="3"/>
      <c r="I99" s="3"/>
      <c r="J99" s="3"/>
      <c r="K99" s="3"/>
      <c r="L99" s="3"/>
      <c r="M99" s="3"/>
      <c r="N99" s="3"/>
      <c r="O99" s="3"/>
      <c r="P99" s="3"/>
      <c r="Q99" s="3"/>
      <c r="R99" s="3"/>
      <c r="S99" s="3"/>
      <c r="T99" s="3"/>
      <c r="U99" s="3"/>
      <c r="V99" s="3"/>
    </row>
    <row r="100" spans="1:22" ht="24.75" customHeight="1" x14ac:dyDescent="0.3">
      <c r="A100" s="3"/>
      <c r="B100" s="33"/>
      <c r="C100" s="3"/>
      <c r="D100" s="3"/>
      <c r="E100" s="3"/>
      <c r="F100" s="3"/>
      <c r="G100" s="3"/>
      <c r="H100" s="3"/>
      <c r="I100" s="3"/>
      <c r="J100" s="3"/>
      <c r="K100" s="3"/>
      <c r="L100" s="3"/>
      <c r="M100" s="3"/>
      <c r="N100" s="3"/>
      <c r="O100" s="3"/>
      <c r="P100" s="3"/>
      <c r="Q100" s="3"/>
      <c r="R100" s="3"/>
      <c r="S100" s="3"/>
      <c r="T100" s="3"/>
      <c r="U100" s="3"/>
      <c r="V100" s="3"/>
    </row>
    <row r="101" spans="1:22" ht="24.75" customHeight="1" x14ac:dyDescent="0.3">
      <c r="A101" s="3"/>
      <c r="B101" s="33"/>
      <c r="C101" s="3"/>
      <c r="D101" s="3"/>
      <c r="E101" s="3"/>
      <c r="F101" s="3"/>
      <c r="G101" s="3"/>
      <c r="H101" s="3"/>
      <c r="I101" s="3"/>
      <c r="J101" s="3"/>
      <c r="K101" s="3"/>
      <c r="L101" s="3"/>
      <c r="M101" s="3"/>
      <c r="N101" s="3"/>
      <c r="O101" s="3"/>
      <c r="P101" s="3"/>
      <c r="Q101" s="3"/>
      <c r="R101" s="3"/>
      <c r="S101" s="3"/>
      <c r="T101" s="3"/>
      <c r="U101" s="3"/>
      <c r="V101" s="3"/>
    </row>
    <row r="102" spans="1:22" ht="24.75" customHeight="1" x14ac:dyDescent="0.3">
      <c r="A102" s="3"/>
      <c r="B102" s="33"/>
      <c r="C102" s="3"/>
      <c r="D102" s="3"/>
      <c r="E102" s="3"/>
      <c r="F102" s="3"/>
      <c r="G102" s="3"/>
      <c r="H102" s="3"/>
      <c r="I102" s="3"/>
      <c r="J102" s="3"/>
      <c r="K102" s="3"/>
      <c r="L102" s="3"/>
      <c r="M102" s="3"/>
      <c r="N102" s="3"/>
      <c r="O102" s="3"/>
      <c r="P102" s="3"/>
      <c r="Q102" s="3"/>
      <c r="R102" s="3"/>
      <c r="S102" s="3"/>
      <c r="T102" s="3"/>
      <c r="U102" s="3"/>
      <c r="V102" s="3"/>
    </row>
    <row r="103" spans="1:22" ht="24.75" customHeight="1" x14ac:dyDescent="0.3">
      <c r="A103" s="3"/>
      <c r="B103" s="33"/>
      <c r="C103" s="3"/>
      <c r="D103" s="3"/>
      <c r="E103" s="3"/>
      <c r="F103" s="3"/>
      <c r="G103" s="3"/>
      <c r="H103" s="3"/>
      <c r="I103" s="3"/>
      <c r="J103" s="3"/>
      <c r="K103" s="3"/>
      <c r="L103" s="3"/>
      <c r="M103" s="3"/>
      <c r="N103" s="3"/>
      <c r="O103" s="3"/>
      <c r="P103" s="3"/>
      <c r="Q103" s="3"/>
      <c r="R103" s="3"/>
      <c r="S103" s="3"/>
      <c r="T103" s="3"/>
      <c r="U103" s="3"/>
      <c r="V103" s="3"/>
    </row>
    <row r="104" spans="1:22" ht="24.75" customHeight="1" x14ac:dyDescent="0.3">
      <c r="A104" s="3"/>
      <c r="B104" s="33"/>
      <c r="C104" s="3"/>
      <c r="D104" s="3"/>
      <c r="E104" s="3"/>
      <c r="F104" s="3"/>
      <c r="G104" s="3"/>
      <c r="H104" s="3"/>
      <c r="I104" s="3"/>
      <c r="J104" s="3"/>
      <c r="K104" s="3"/>
      <c r="L104" s="3"/>
      <c r="M104" s="3"/>
      <c r="N104" s="3"/>
      <c r="O104" s="3"/>
      <c r="P104" s="3"/>
      <c r="Q104" s="3"/>
      <c r="R104" s="3"/>
      <c r="S104" s="3"/>
      <c r="T104" s="3"/>
      <c r="U104" s="3"/>
      <c r="V104" s="3"/>
    </row>
    <row r="105" spans="1:22" ht="24.75" customHeight="1" x14ac:dyDescent="0.3">
      <c r="A105" s="3"/>
      <c r="B105" s="33"/>
      <c r="C105" s="3"/>
      <c r="D105" s="3"/>
      <c r="E105" s="3"/>
      <c r="F105" s="3"/>
      <c r="G105" s="3"/>
      <c r="H105" s="3"/>
      <c r="I105" s="3"/>
      <c r="J105" s="3"/>
      <c r="K105" s="3"/>
      <c r="L105" s="3"/>
      <c r="M105" s="3"/>
      <c r="N105" s="3"/>
      <c r="O105" s="3"/>
      <c r="P105" s="3"/>
      <c r="Q105" s="3"/>
      <c r="R105" s="3"/>
      <c r="S105" s="3"/>
      <c r="T105" s="3"/>
      <c r="U105" s="3"/>
      <c r="V105" s="3"/>
    </row>
    <row r="106" spans="1:22" ht="24.75" customHeight="1" x14ac:dyDescent="0.3">
      <c r="A106" s="3"/>
      <c r="B106" s="33"/>
      <c r="C106" s="3"/>
      <c r="D106" s="3"/>
      <c r="E106" s="3"/>
      <c r="F106" s="3"/>
      <c r="G106" s="3"/>
      <c r="H106" s="3"/>
      <c r="I106" s="3"/>
      <c r="J106" s="3"/>
      <c r="K106" s="3"/>
      <c r="L106" s="3"/>
      <c r="M106" s="3"/>
      <c r="N106" s="3"/>
      <c r="O106" s="3"/>
      <c r="P106" s="3"/>
      <c r="Q106" s="3"/>
      <c r="R106" s="3"/>
      <c r="S106" s="3"/>
      <c r="T106" s="3"/>
      <c r="U106" s="3"/>
      <c r="V106" s="3"/>
    </row>
    <row r="107" spans="1:22" ht="24.75" customHeight="1" x14ac:dyDescent="0.3">
      <c r="A107" s="3"/>
      <c r="B107" s="33"/>
      <c r="C107" s="3"/>
      <c r="D107" s="3"/>
      <c r="E107" s="3"/>
      <c r="F107" s="3"/>
      <c r="G107" s="3"/>
      <c r="H107" s="3"/>
      <c r="I107" s="3"/>
      <c r="J107" s="3"/>
      <c r="K107" s="3"/>
      <c r="L107" s="3"/>
      <c r="M107" s="3"/>
      <c r="N107" s="3"/>
      <c r="O107" s="3"/>
      <c r="P107" s="3"/>
      <c r="Q107" s="3"/>
      <c r="R107" s="3"/>
      <c r="S107" s="3"/>
      <c r="T107" s="3"/>
      <c r="U107" s="3"/>
      <c r="V107" s="3"/>
    </row>
    <row r="108" spans="1:22" ht="24.75" customHeight="1" x14ac:dyDescent="0.3">
      <c r="A108" s="3"/>
      <c r="B108" s="33"/>
      <c r="C108" s="3"/>
      <c r="D108" s="3"/>
      <c r="E108" s="3"/>
      <c r="F108" s="3"/>
      <c r="G108" s="3"/>
      <c r="H108" s="3"/>
      <c r="I108" s="3"/>
      <c r="J108" s="3"/>
      <c r="K108" s="3"/>
      <c r="L108" s="3"/>
      <c r="M108" s="3"/>
      <c r="N108" s="3"/>
      <c r="O108" s="3"/>
      <c r="P108" s="3"/>
      <c r="Q108" s="3"/>
      <c r="R108" s="3"/>
      <c r="S108" s="3"/>
      <c r="T108" s="3"/>
      <c r="U108" s="3"/>
      <c r="V108" s="3"/>
    </row>
    <row r="109" spans="1:22" ht="24.75" customHeight="1" x14ac:dyDescent="0.3">
      <c r="A109" s="3"/>
      <c r="B109" s="33"/>
      <c r="C109" s="3"/>
      <c r="D109" s="3"/>
      <c r="E109" s="3"/>
      <c r="F109" s="3"/>
      <c r="G109" s="3"/>
      <c r="H109" s="3"/>
      <c r="I109" s="3"/>
      <c r="J109" s="3"/>
      <c r="K109" s="3"/>
      <c r="L109" s="3"/>
      <c r="M109" s="3"/>
      <c r="N109" s="3"/>
      <c r="O109" s="3"/>
      <c r="P109" s="3"/>
      <c r="Q109" s="3"/>
      <c r="R109" s="3"/>
      <c r="S109" s="3"/>
      <c r="T109" s="3"/>
      <c r="U109" s="3"/>
      <c r="V109" s="3"/>
    </row>
    <row r="110" spans="1:22" ht="24.75" customHeight="1" x14ac:dyDescent="0.3">
      <c r="A110" s="3"/>
      <c r="B110" s="33"/>
      <c r="C110" s="3"/>
      <c r="D110" s="3"/>
      <c r="E110" s="3"/>
      <c r="F110" s="3"/>
      <c r="G110" s="3"/>
      <c r="H110" s="3"/>
      <c r="I110" s="3"/>
      <c r="J110" s="3"/>
      <c r="K110" s="3"/>
      <c r="L110" s="3"/>
      <c r="M110" s="3"/>
      <c r="N110" s="3"/>
      <c r="O110" s="3"/>
      <c r="P110" s="3"/>
      <c r="Q110" s="3"/>
      <c r="R110" s="3"/>
      <c r="S110" s="3"/>
      <c r="T110" s="3"/>
      <c r="U110" s="3"/>
      <c r="V110" s="3"/>
    </row>
    <row r="111" spans="1:22" ht="24.75" customHeight="1" x14ac:dyDescent="0.3">
      <c r="A111" s="3"/>
      <c r="B111" s="33"/>
      <c r="C111" s="3"/>
      <c r="D111" s="3"/>
      <c r="E111" s="3"/>
      <c r="F111" s="3"/>
      <c r="G111" s="3"/>
      <c r="H111" s="3"/>
      <c r="I111" s="3"/>
      <c r="J111" s="3"/>
      <c r="K111" s="3"/>
      <c r="L111" s="3"/>
      <c r="M111" s="3"/>
      <c r="N111" s="3"/>
      <c r="O111" s="3"/>
      <c r="P111" s="3"/>
      <c r="Q111" s="3"/>
      <c r="R111" s="3"/>
      <c r="S111" s="3"/>
      <c r="T111" s="3"/>
      <c r="U111" s="3"/>
      <c r="V111" s="3"/>
    </row>
    <row r="112" spans="1:22" ht="24.75" customHeight="1" x14ac:dyDescent="0.3">
      <c r="A112" s="3"/>
      <c r="B112" s="33"/>
      <c r="C112" s="3"/>
      <c r="D112" s="3"/>
      <c r="E112" s="3"/>
      <c r="F112" s="3"/>
      <c r="G112" s="3"/>
      <c r="H112" s="3"/>
      <c r="I112" s="3"/>
      <c r="J112" s="3"/>
      <c r="K112" s="3"/>
      <c r="L112" s="3"/>
      <c r="M112" s="3"/>
      <c r="N112" s="3"/>
      <c r="O112" s="3"/>
      <c r="P112" s="3"/>
      <c r="Q112" s="3"/>
      <c r="R112" s="3"/>
      <c r="S112" s="3"/>
      <c r="T112" s="3"/>
      <c r="U112" s="3"/>
      <c r="V112" s="3"/>
    </row>
    <row r="113" spans="1:22" ht="24.75" customHeight="1" x14ac:dyDescent="0.3">
      <c r="A113" s="3"/>
      <c r="B113" s="33"/>
      <c r="C113" s="3"/>
      <c r="D113" s="3"/>
      <c r="E113" s="3"/>
      <c r="F113" s="3"/>
      <c r="G113" s="3"/>
      <c r="H113" s="3"/>
      <c r="I113" s="3"/>
      <c r="J113" s="3"/>
      <c r="K113" s="3"/>
      <c r="L113" s="3"/>
      <c r="M113" s="3"/>
      <c r="N113" s="3"/>
      <c r="O113" s="3"/>
      <c r="P113" s="3"/>
      <c r="Q113" s="3"/>
      <c r="R113" s="3"/>
      <c r="S113" s="3"/>
      <c r="T113" s="3"/>
      <c r="U113" s="3"/>
      <c r="V113" s="3"/>
    </row>
    <row r="114" spans="1:22" ht="24.75" customHeight="1" x14ac:dyDescent="0.3">
      <c r="A114" s="3"/>
      <c r="B114" s="33"/>
      <c r="C114" s="3"/>
      <c r="D114" s="3"/>
      <c r="E114" s="3"/>
      <c r="F114" s="3"/>
      <c r="G114" s="3"/>
      <c r="H114" s="3"/>
      <c r="I114" s="3"/>
      <c r="J114" s="3"/>
      <c r="K114" s="3"/>
      <c r="L114" s="3"/>
      <c r="M114" s="3"/>
      <c r="N114" s="3"/>
      <c r="O114" s="3"/>
      <c r="P114" s="3"/>
      <c r="Q114" s="3"/>
      <c r="R114" s="3"/>
      <c r="S114" s="3"/>
      <c r="T114" s="3"/>
      <c r="U114" s="3"/>
      <c r="V114" s="3"/>
    </row>
    <row r="115" spans="1:22" ht="24.75" customHeight="1" x14ac:dyDescent="0.3">
      <c r="A115" s="3"/>
      <c r="B115" s="33"/>
      <c r="C115" s="3"/>
      <c r="D115" s="3"/>
      <c r="E115" s="3"/>
      <c r="F115" s="3"/>
      <c r="G115" s="3"/>
      <c r="H115" s="3"/>
      <c r="I115" s="3"/>
      <c r="J115" s="3"/>
      <c r="K115" s="3"/>
      <c r="L115" s="3"/>
      <c r="M115" s="3"/>
      <c r="N115" s="3"/>
      <c r="O115" s="3"/>
      <c r="P115" s="3"/>
      <c r="Q115" s="3"/>
      <c r="R115" s="3"/>
      <c r="S115" s="3"/>
      <c r="T115" s="3"/>
      <c r="U115" s="3"/>
      <c r="V115" s="3"/>
    </row>
    <row r="116" spans="1:22" ht="24.75" customHeight="1" x14ac:dyDescent="0.3">
      <c r="A116" s="3"/>
      <c r="B116" s="33"/>
      <c r="C116" s="3"/>
      <c r="D116" s="3"/>
      <c r="E116" s="3"/>
      <c r="F116" s="3"/>
      <c r="G116" s="3"/>
      <c r="H116" s="3"/>
      <c r="I116" s="3"/>
      <c r="J116" s="3"/>
      <c r="K116" s="3"/>
      <c r="L116" s="3"/>
      <c r="M116" s="3"/>
      <c r="N116" s="3"/>
      <c r="O116" s="3"/>
      <c r="P116" s="3"/>
      <c r="Q116" s="3"/>
      <c r="R116" s="3"/>
      <c r="S116" s="3"/>
      <c r="T116" s="3"/>
      <c r="U116" s="3"/>
      <c r="V116" s="3"/>
    </row>
    <row r="117" spans="1:22" ht="24.75" customHeight="1" x14ac:dyDescent="0.3">
      <c r="A117" s="3"/>
      <c r="B117" s="33"/>
      <c r="C117" s="3"/>
      <c r="D117" s="3"/>
      <c r="E117" s="3"/>
      <c r="F117" s="3"/>
      <c r="G117" s="3"/>
      <c r="H117" s="3"/>
      <c r="I117" s="3"/>
      <c r="J117" s="3"/>
      <c r="K117" s="3"/>
      <c r="L117" s="3"/>
      <c r="M117" s="3"/>
      <c r="N117" s="3"/>
      <c r="O117" s="3"/>
      <c r="P117" s="3"/>
      <c r="Q117" s="3"/>
      <c r="R117" s="3"/>
      <c r="S117" s="3"/>
      <c r="T117" s="3"/>
      <c r="U117" s="3"/>
      <c r="V117" s="3"/>
    </row>
    <row r="118" spans="1:22" ht="24.75" customHeight="1" x14ac:dyDescent="0.3">
      <c r="A118" s="3"/>
      <c r="B118" s="33"/>
      <c r="C118" s="3"/>
      <c r="D118" s="3"/>
      <c r="E118" s="3"/>
      <c r="F118" s="3"/>
      <c r="G118" s="3"/>
      <c r="H118" s="3"/>
      <c r="I118" s="3"/>
      <c r="J118" s="3"/>
      <c r="K118" s="3"/>
      <c r="L118" s="3"/>
      <c r="M118" s="3"/>
      <c r="N118" s="3"/>
      <c r="O118" s="3"/>
      <c r="P118" s="3"/>
      <c r="Q118" s="3"/>
      <c r="R118" s="3"/>
      <c r="S118" s="3"/>
      <c r="T118" s="3"/>
      <c r="U118" s="3"/>
      <c r="V118" s="3"/>
    </row>
    <row r="119" spans="1:22" ht="24.75" customHeight="1" x14ac:dyDescent="0.3">
      <c r="A119" s="3"/>
      <c r="B119" s="33"/>
      <c r="C119" s="3"/>
      <c r="D119" s="3"/>
      <c r="E119" s="3"/>
      <c r="F119" s="3"/>
      <c r="G119" s="3"/>
      <c r="H119" s="3"/>
      <c r="I119" s="3"/>
      <c r="J119" s="3"/>
      <c r="K119" s="3"/>
      <c r="L119" s="3"/>
      <c r="M119" s="3"/>
      <c r="N119" s="3"/>
      <c r="O119" s="3"/>
      <c r="P119" s="3"/>
      <c r="Q119" s="3"/>
      <c r="R119" s="3"/>
      <c r="S119" s="3"/>
      <c r="T119" s="3"/>
      <c r="U119" s="3"/>
      <c r="V119" s="3"/>
    </row>
    <row r="120" spans="1:22" ht="24.75" customHeight="1" x14ac:dyDescent="0.3">
      <c r="A120" s="3"/>
      <c r="B120" s="33"/>
      <c r="C120" s="3"/>
      <c r="D120" s="3"/>
      <c r="E120" s="3"/>
      <c r="F120" s="3"/>
      <c r="G120" s="3"/>
      <c r="H120" s="3"/>
      <c r="I120" s="3"/>
      <c r="J120" s="3"/>
      <c r="K120" s="3"/>
      <c r="L120" s="3"/>
      <c r="M120" s="3"/>
      <c r="N120" s="3"/>
      <c r="O120" s="3"/>
      <c r="P120" s="3"/>
      <c r="Q120" s="3"/>
      <c r="R120" s="3"/>
      <c r="S120" s="3"/>
      <c r="T120" s="3"/>
      <c r="U120" s="3"/>
      <c r="V120" s="3"/>
    </row>
    <row r="121" spans="1:22" ht="24.75" customHeight="1" x14ac:dyDescent="0.3">
      <c r="A121" s="3"/>
      <c r="B121" s="33"/>
      <c r="C121" s="3"/>
      <c r="D121" s="3"/>
      <c r="E121" s="3"/>
      <c r="F121" s="3"/>
      <c r="G121" s="3"/>
      <c r="H121" s="3"/>
      <c r="I121" s="3"/>
      <c r="J121" s="3"/>
      <c r="K121" s="3"/>
      <c r="L121" s="3"/>
      <c r="M121" s="3"/>
      <c r="N121" s="3"/>
      <c r="O121" s="3"/>
      <c r="P121" s="3"/>
      <c r="Q121" s="3"/>
      <c r="R121" s="3"/>
      <c r="S121" s="3"/>
      <c r="T121" s="3"/>
      <c r="U121" s="3"/>
      <c r="V121" s="3"/>
    </row>
    <row r="122" spans="1:22" ht="24.75" customHeight="1" x14ac:dyDescent="0.3">
      <c r="A122" s="3"/>
      <c r="B122" s="33"/>
      <c r="C122" s="3"/>
      <c r="D122" s="3"/>
      <c r="E122" s="3"/>
      <c r="F122" s="3"/>
      <c r="G122" s="3"/>
      <c r="H122" s="3"/>
      <c r="I122" s="3"/>
      <c r="J122" s="3"/>
      <c r="K122" s="3"/>
      <c r="L122" s="3"/>
      <c r="M122" s="3"/>
      <c r="N122" s="3"/>
      <c r="O122" s="3"/>
      <c r="P122" s="3"/>
      <c r="Q122" s="3"/>
      <c r="R122" s="3"/>
      <c r="S122" s="3"/>
      <c r="T122" s="3"/>
      <c r="U122" s="3"/>
      <c r="V122" s="3"/>
    </row>
    <row r="123" spans="1:22" ht="24.75" customHeight="1" x14ac:dyDescent="0.3">
      <c r="A123" s="3"/>
      <c r="B123" s="33"/>
      <c r="C123" s="3"/>
      <c r="D123" s="3"/>
      <c r="E123" s="3"/>
      <c r="F123" s="3"/>
      <c r="G123" s="3"/>
      <c r="H123" s="3"/>
      <c r="I123" s="3"/>
      <c r="J123" s="3"/>
      <c r="K123" s="3"/>
      <c r="L123" s="3"/>
      <c r="M123" s="3"/>
      <c r="N123" s="3"/>
      <c r="O123" s="3"/>
      <c r="P123" s="3"/>
      <c r="Q123" s="3"/>
      <c r="R123" s="3"/>
      <c r="S123" s="3"/>
      <c r="T123" s="3"/>
      <c r="U123" s="3"/>
      <c r="V123" s="3"/>
    </row>
    <row r="124" spans="1:22" ht="24.75" customHeight="1" x14ac:dyDescent="0.3">
      <c r="A124" s="3"/>
      <c r="B124" s="33"/>
      <c r="C124" s="3"/>
      <c r="D124" s="3"/>
      <c r="E124" s="3"/>
      <c r="F124" s="3"/>
      <c r="G124" s="3"/>
      <c r="H124" s="3"/>
      <c r="I124" s="3"/>
      <c r="J124" s="3"/>
      <c r="K124" s="3"/>
      <c r="L124" s="3"/>
      <c r="M124" s="3"/>
      <c r="N124" s="3"/>
      <c r="O124" s="3"/>
      <c r="P124" s="3"/>
      <c r="Q124" s="3"/>
      <c r="R124" s="3"/>
      <c r="S124" s="3"/>
      <c r="T124" s="3"/>
      <c r="U124" s="3"/>
      <c r="V124" s="3"/>
    </row>
    <row r="125" spans="1:22" ht="24.75" customHeight="1" x14ac:dyDescent="0.3">
      <c r="A125" s="3"/>
      <c r="B125" s="33"/>
      <c r="C125" s="3"/>
      <c r="D125" s="3"/>
      <c r="E125" s="3"/>
      <c r="F125" s="3"/>
      <c r="G125" s="3"/>
      <c r="H125" s="3"/>
      <c r="I125" s="3"/>
      <c r="J125" s="3"/>
      <c r="K125" s="3"/>
      <c r="L125" s="3"/>
      <c r="M125" s="3"/>
      <c r="N125" s="3"/>
      <c r="O125" s="3"/>
      <c r="P125" s="3"/>
      <c r="Q125" s="3"/>
      <c r="R125" s="3"/>
      <c r="S125" s="3"/>
      <c r="T125" s="3"/>
      <c r="U125" s="3"/>
      <c r="V125" s="3"/>
    </row>
    <row r="126" spans="1:22" ht="24.75" customHeight="1" x14ac:dyDescent="0.3">
      <c r="A126" s="3"/>
      <c r="B126" s="33"/>
      <c r="C126" s="3"/>
      <c r="D126" s="3"/>
      <c r="E126" s="3"/>
      <c r="F126" s="3"/>
      <c r="G126" s="3"/>
      <c r="H126" s="3"/>
      <c r="I126" s="3"/>
      <c r="J126" s="3"/>
      <c r="K126" s="3"/>
      <c r="L126" s="3"/>
      <c r="M126" s="3"/>
      <c r="N126" s="3"/>
      <c r="O126" s="3"/>
      <c r="P126" s="3"/>
      <c r="Q126" s="3"/>
      <c r="R126" s="3"/>
      <c r="S126" s="3"/>
      <c r="T126" s="3"/>
      <c r="U126" s="3"/>
      <c r="V126" s="3"/>
    </row>
    <row r="127" spans="1:22" ht="24.75" customHeight="1" x14ac:dyDescent="0.3">
      <c r="A127" s="3"/>
      <c r="B127" s="33"/>
      <c r="C127" s="3"/>
      <c r="D127" s="3"/>
      <c r="E127" s="3"/>
      <c r="F127" s="3"/>
      <c r="G127" s="3"/>
      <c r="H127" s="3"/>
      <c r="I127" s="3"/>
      <c r="J127" s="3"/>
      <c r="K127" s="3"/>
      <c r="L127" s="3"/>
      <c r="M127" s="3"/>
      <c r="N127" s="3"/>
      <c r="O127" s="3"/>
      <c r="P127" s="3"/>
      <c r="Q127" s="3"/>
      <c r="R127" s="3"/>
      <c r="S127" s="3"/>
      <c r="T127" s="3"/>
      <c r="U127" s="3"/>
      <c r="V127" s="3"/>
    </row>
    <row r="128" spans="1:22" ht="24.75" customHeight="1" x14ac:dyDescent="0.3">
      <c r="A128" s="3"/>
      <c r="B128" s="33"/>
      <c r="C128" s="3"/>
      <c r="D128" s="3"/>
      <c r="E128" s="3"/>
      <c r="F128" s="3"/>
      <c r="G128" s="3"/>
      <c r="H128" s="3"/>
      <c r="I128" s="3"/>
      <c r="J128" s="3"/>
      <c r="K128" s="3"/>
      <c r="L128" s="3"/>
      <c r="M128" s="3"/>
      <c r="N128" s="3"/>
      <c r="O128" s="3"/>
      <c r="P128" s="3"/>
      <c r="Q128" s="3"/>
      <c r="R128" s="3"/>
      <c r="S128" s="3"/>
      <c r="T128" s="3"/>
      <c r="U128" s="3"/>
      <c r="V128" s="3"/>
    </row>
    <row r="129" spans="1:22" ht="24.75" customHeight="1" x14ac:dyDescent="0.3">
      <c r="A129" s="3"/>
      <c r="B129" s="33"/>
      <c r="C129" s="3"/>
      <c r="D129" s="3"/>
      <c r="E129" s="3"/>
      <c r="F129" s="3"/>
      <c r="G129" s="3"/>
      <c r="H129" s="3"/>
      <c r="I129" s="3"/>
      <c r="J129" s="3"/>
      <c r="K129" s="3"/>
      <c r="L129" s="3"/>
      <c r="M129" s="3"/>
      <c r="N129" s="3"/>
      <c r="O129" s="3"/>
      <c r="P129" s="3"/>
      <c r="Q129" s="3"/>
      <c r="R129" s="3"/>
      <c r="S129" s="3"/>
      <c r="T129" s="3"/>
      <c r="U129" s="3"/>
      <c r="V129" s="3"/>
    </row>
    <row r="130" spans="1:22" ht="24.75" customHeight="1" x14ac:dyDescent="0.3">
      <c r="A130" s="3"/>
      <c r="B130" s="33"/>
      <c r="C130" s="3"/>
      <c r="D130" s="3"/>
      <c r="E130" s="3"/>
      <c r="F130" s="3"/>
      <c r="G130" s="3"/>
      <c r="H130" s="3"/>
      <c r="I130" s="3"/>
      <c r="J130" s="3"/>
      <c r="K130" s="3"/>
      <c r="L130" s="3"/>
      <c r="M130" s="3"/>
      <c r="N130" s="3"/>
      <c r="O130" s="3"/>
      <c r="P130" s="3"/>
      <c r="Q130" s="3"/>
      <c r="R130" s="3"/>
      <c r="S130" s="3"/>
      <c r="T130" s="3"/>
      <c r="U130" s="3"/>
      <c r="V130" s="3"/>
    </row>
    <row r="131" spans="1:22" ht="24.75" customHeight="1" x14ac:dyDescent="0.3">
      <c r="A131" s="3"/>
      <c r="B131" s="33"/>
      <c r="C131" s="3"/>
      <c r="D131" s="3"/>
      <c r="E131" s="3"/>
      <c r="F131" s="3"/>
      <c r="G131" s="3"/>
      <c r="H131" s="3"/>
      <c r="I131" s="3"/>
      <c r="J131" s="3"/>
      <c r="K131" s="3"/>
      <c r="L131" s="3"/>
      <c r="M131" s="3"/>
      <c r="N131" s="3"/>
      <c r="O131" s="3"/>
      <c r="P131" s="3"/>
      <c r="Q131" s="3"/>
      <c r="R131" s="3"/>
      <c r="S131" s="3"/>
      <c r="T131" s="3"/>
      <c r="U131" s="3"/>
      <c r="V131" s="3"/>
    </row>
    <row r="132" spans="1:22" ht="24.75" customHeight="1" x14ac:dyDescent="0.3">
      <c r="A132" s="3"/>
      <c r="B132" s="33"/>
      <c r="C132" s="3"/>
      <c r="D132" s="3"/>
      <c r="E132" s="3"/>
      <c r="F132" s="3"/>
      <c r="G132" s="3"/>
      <c r="H132" s="3"/>
      <c r="I132" s="3"/>
      <c r="J132" s="3"/>
      <c r="K132" s="3"/>
      <c r="L132" s="3"/>
      <c r="M132" s="3"/>
      <c r="N132" s="3"/>
      <c r="O132" s="3"/>
      <c r="P132" s="3"/>
      <c r="Q132" s="3"/>
      <c r="R132" s="3"/>
      <c r="S132" s="3"/>
      <c r="T132" s="3"/>
      <c r="U132" s="3"/>
      <c r="V132" s="3"/>
    </row>
    <row r="133" spans="1:22" ht="24.75" customHeight="1" x14ac:dyDescent="0.3">
      <c r="A133" s="3"/>
      <c r="B133" s="33"/>
      <c r="C133" s="3"/>
      <c r="D133" s="3"/>
      <c r="E133" s="3"/>
      <c r="F133" s="3"/>
      <c r="G133" s="3"/>
      <c r="H133" s="3"/>
      <c r="I133" s="3"/>
      <c r="J133" s="3"/>
      <c r="K133" s="3"/>
      <c r="L133" s="3"/>
      <c r="M133" s="3"/>
      <c r="N133" s="3"/>
      <c r="O133" s="3"/>
      <c r="P133" s="3"/>
      <c r="Q133" s="3"/>
      <c r="R133" s="3"/>
      <c r="S133" s="3"/>
      <c r="T133" s="3"/>
      <c r="U133" s="3"/>
      <c r="V133" s="3"/>
    </row>
    <row r="134" spans="1:22" ht="24.75" customHeight="1" x14ac:dyDescent="0.3">
      <c r="A134" s="3"/>
      <c r="B134" s="33"/>
      <c r="C134" s="3"/>
      <c r="D134" s="3"/>
      <c r="E134" s="3"/>
      <c r="F134" s="3"/>
      <c r="G134" s="3"/>
      <c r="H134" s="3"/>
      <c r="I134" s="3"/>
      <c r="J134" s="3"/>
      <c r="K134" s="3"/>
      <c r="L134" s="3"/>
      <c r="M134" s="3"/>
      <c r="N134" s="3"/>
      <c r="O134" s="3"/>
      <c r="P134" s="3"/>
      <c r="Q134" s="3"/>
      <c r="R134" s="3"/>
      <c r="S134" s="3"/>
      <c r="T134" s="3"/>
      <c r="U134" s="3"/>
      <c r="V134" s="3"/>
    </row>
    <row r="135" spans="1:22" ht="24.75" customHeight="1" x14ac:dyDescent="0.3">
      <c r="A135" s="3"/>
      <c r="B135" s="33"/>
      <c r="C135" s="3"/>
      <c r="D135" s="3"/>
      <c r="E135" s="3"/>
      <c r="F135" s="3"/>
      <c r="G135" s="3"/>
      <c r="H135" s="3"/>
      <c r="I135" s="3"/>
      <c r="J135" s="3"/>
      <c r="K135" s="3"/>
      <c r="L135" s="3"/>
      <c r="M135" s="3"/>
      <c r="N135" s="3"/>
      <c r="O135" s="3"/>
      <c r="P135" s="3"/>
      <c r="Q135" s="3"/>
      <c r="R135" s="3"/>
      <c r="S135" s="3"/>
      <c r="T135" s="3"/>
      <c r="U135" s="3"/>
      <c r="V135" s="3"/>
    </row>
    <row r="136" spans="1:22" ht="24.75" customHeight="1" x14ac:dyDescent="0.3">
      <c r="A136" s="3"/>
      <c r="B136" s="33"/>
      <c r="C136" s="3"/>
      <c r="D136" s="3"/>
      <c r="E136" s="3"/>
      <c r="F136" s="3"/>
      <c r="G136" s="3"/>
      <c r="H136" s="3"/>
      <c r="I136" s="3"/>
      <c r="J136" s="3"/>
      <c r="K136" s="3"/>
      <c r="L136" s="3"/>
      <c r="M136" s="3"/>
      <c r="N136" s="3"/>
      <c r="O136" s="3"/>
      <c r="P136" s="3"/>
      <c r="Q136" s="3"/>
      <c r="R136" s="3"/>
      <c r="S136" s="3"/>
      <c r="T136" s="3"/>
      <c r="U136" s="3"/>
      <c r="V136" s="3"/>
    </row>
    <row r="137" spans="1:22" ht="24.75" customHeight="1" x14ac:dyDescent="0.3">
      <c r="A137" s="3"/>
      <c r="B137" s="33"/>
      <c r="C137" s="3"/>
      <c r="D137" s="3"/>
      <c r="E137" s="3"/>
      <c r="F137" s="3"/>
      <c r="G137" s="3"/>
      <c r="H137" s="3"/>
      <c r="I137" s="3"/>
      <c r="J137" s="3"/>
      <c r="K137" s="3"/>
      <c r="L137" s="3"/>
      <c r="M137" s="3"/>
      <c r="N137" s="3"/>
      <c r="O137" s="3"/>
      <c r="P137" s="3"/>
      <c r="Q137" s="3"/>
      <c r="R137" s="3"/>
      <c r="S137" s="3"/>
      <c r="T137" s="3"/>
      <c r="U137" s="3"/>
      <c r="V137" s="3"/>
    </row>
    <row r="138" spans="1:22" ht="24.75" customHeight="1" x14ac:dyDescent="0.3">
      <c r="A138" s="3"/>
      <c r="B138" s="33"/>
      <c r="C138" s="3"/>
      <c r="D138" s="3"/>
      <c r="E138" s="3"/>
      <c r="F138" s="3"/>
      <c r="G138" s="3"/>
      <c r="H138" s="3"/>
      <c r="I138" s="3"/>
      <c r="J138" s="3"/>
      <c r="K138" s="3"/>
      <c r="L138" s="3"/>
      <c r="M138" s="3"/>
      <c r="N138" s="3"/>
      <c r="O138" s="3"/>
      <c r="P138" s="3"/>
      <c r="Q138" s="3"/>
      <c r="R138" s="3"/>
      <c r="S138" s="3"/>
      <c r="T138" s="3"/>
      <c r="U138" s="3"/>
      <c r="V138" s="3"/>
    </row>
    <row r="139" spans="1:22" ht="24.75" customHeight="1" x14ac:dyDescent="0.3">
      <c r="A139" s="3"/>
      <c r="B139" s="33"/>
      <c r="C139" s="3"/>
      <c r="D139" s="3"/>
      <c r="E139" s="3"/>
      <c r="F139" s="3"/>
      <c r="G139" s="3"/>
      <c r="H139" s="3"/>
      <c r="I139" s="3"/>
      <c r="J139" s="3"/>
      <c r="K139" s="3"/>
      <c r="L139" s="3"/>
      <c r="M139" s="3"/>
      <c r="N139" s="3"/>
      <c r="O139" s="3"/>
      <c r="P139" s="3"/>
      <c r="Q139" s="3"/>
      <c r="R139" s="3"/>
      <c r="S139" s="3"/>
      <c r="T139" s="3"/>
      <c r="U139" s="3"/>
      <c r="V139" s="3"/>
    </row>
    <row r="140" spans="1:22" ht="24.75" customHeight="1" x14ac:dyDescent="0.3">
      <c r="A140" s="3"/>
      <c r="B140" s="33"/>
      <c r="C140" s="3"/>
      <c r="D140" s="3"/>
      <c r="E140" s="3"/>
      <c r="F140" s="3"/>
      <c r="G140" s="3"/>
      <c r="H140" s="3"/>
      <c r="I140" s="3"/>
      <c r="J140" s="3"/>
      <c r="K140" s="3"/>
      <c r="L140" s="3"/>
      <c r="M140" s="3"/>
      <c r="N140" s="3"/>
      <c r="O140" s="3"/>
      <c r="P140" s="3"/>
      <c r="Q140" s="3"/>
      <c r="R140" s="3"/>
      <c r="S140" s="3"/>
      <c r="T140" s="3"/>
      <c r="U140" s="3"/>
      <c r="V140" s="3"/>
    </row>
    <row r="141" spans="1:22" ht="24.75" customHeight="1" x14ac:dyDescent="0.3">
      <c r="A141" s="3"/>
      <c r="B141" s="33"/>
      <c r="C141" s="3"/>
      <c r="D141" s="3"/>
      <c r="E141" s="3"/>
      <c r="F141" s="3"/>
      <c r="G141" s="3"/>
      <c r="H141" s="3"/>
      <c r="I141" s="3"/>
      <c r="J141" s="3"/>
      <c r="K141" s="3"/>
      <c r="L141" s="3"/>
      <c r="M141" s="3"/>
      <c r="N141" s="3"/>
      <c r="O141" s="3"/>
      <c r="P141" s="3"/>
      <c r="Q141" s="3"/>
      <c r="R141" s="3"/>
      <c r="S141" s="3"/>
      <c r="T141" s="3"/>
      <c r="U141" s="3"/>
      <c r="V141" s="3"/>
    </row>
    <row r="142" spans="1:22" ht="24.75" customHeight="1" x14ac:dyDescent="0.3">
      <c r="A142" s="3"/>
      <c r="B142" s="33"/>
      <c r="C142" s="3"/>
      <c r="D142" s="3"/>
      <c r="E142" s="3"/>
      <c r="F142" s="3"/>
      <c r="G142" s="3"/>
      <c r="H142" s="3"/>
      <c r="I142" s="3"/>
      <c r="J142" s="3"/>
      <c r="K142" s="3"/>
      <c r="L142" s="3"/>
      <c r="M142" s="3"/>
      <c r="N142" s="3"/>
      <c r="O142" s="3"/>
      <c r="P142" s="3"/>
      <c r="Q142" s="3"/>
      <c r="R142" s="3"/>
      <c r="S142" s="3"/>
      <c r="T142" s="3"/>
      <c r="U142" s="3"/>
      <c r="V142" s="3"/>
    </row>
    <row r="143" spans="1:22" ht="24.75" customHeight="1" x14ac:dyDescent="0.3">
      <c r="A143" s="3"/>
      <c r="B143" s="33"/>
      <c r="C143" s="3"/>
      <c r="D143" s="3"/>
      <c r="E143" s="3"/>
      <c r="F143" s="3"/>
      <c r="G143" s="3"/>
      <c r="H143" s="3"/>
      <c r="I143" s="3"/>
      <c r="J143" s="3"/>
      <c r="K143" s="3"/>
      <c r="L143" s="3"/>
      <c r="M143" s="3"/>
      <c r="N143" s="3"/>
      <c r="O143" s="3"/>
      <c r="P143" s="3"/>
      <c r="Q143" s="3"/>
      <c r="R143" s="3"/>
      <c r="S143" s="3"/>
      <c r="T143" s="3"/>
      <c r="U143" s="3"/>
      <c r="V143" s="3"/>
    </row>
    <row r="144" spans="1:22" ht="24.75" customHeight="1" x14ac:dyDescent="0.3">
      <c r="A144" s="3"/>
      <c r="B144" s="33"/>
      <c r="C144" s="3"/>
      <c r="D144" s="3"/>
      <c r="E144" s="3"/>
      <c r="F144" s="3"/>
      <c r="G144" s="3"/>
      <c r="H144" s="3"/>
      <c r="I144" s="3"/>
      <c r="J144" s="3"/>
      <c r="K144" s="3"/>
      <c r="L144" s="3"/>
      <c r="M144" s="3"/>
      <c r="N144" s="3"/>
      <c r="O144" s="3"/>
      <c r="P144" s="3"/>
      <c r="Q144" s="3"/>
      <c r="R144" s="3"/>
      <c r="S144" s="3"/>
      <c r="T144" s="3"/>
      <c r="U144" s="3"/>
      <c r="V144" s="3"/>
    </row>
    <row r="145" spans="1:22" ht="24.75" customHeight="1" x14ac:dyDescent="0.3">
      <c r="A145" s="3"/>
      <c r="B145" s="33"/>
      <c r="C145" s="3"/>
      <c r="D145" s="3"/>
      <c r="E145" s="3"/>
      <c r="F145" s="3"/>
      <c r="G145" s="3"/>
      <c r="H145" s="3"/>
      <c r="I145" s="3"/>
      <c r="J145" s="3"/>
      <c r="K145" s="3"/>
      <c r="L145" s="3"/>
      <c r="M145" s="3"/>
      <c r="N145" s="3"/>
      <c r="O145" s="3"/>
      <c r="P145" s="3"/>
      <c r="Q145" s="3"/>
      <c r="R145" s="3"/>
      <c r="S145" s="3"/>
      <c r="T145" s="3"/>
      <c r="U145" s="3"/>
      <c r="V145" s="3"/>
    </row>
    <row r="146" spans="1:22" ht="24.75" customHeight="1" x14ac:dyDescent="0.3">
      <c r="A146" s="3"/>
      <c r="B146" s="33"/>
      <c r="C146" s="3"/>
      <c r="D146" s="3"/>
      <c r="E146" s="3"/>
      <c r="F146" s="3"/>
      <c r="G146" s="3"/>
      <c r="H146" s="3"/>
      <c r="I146" s="3"/>
      <c r="J146" s="3"/>
      <c r="K146" s="3"/>
      <c r="L146" s="3"/>
      <c r="M146" s="3"/>
      <c r="N146" s="3"/>
      <c r="O146" s="3"/>
      <c r="P146" s="3"/>
      <c r="Q146" s="3"/>
      <c r="R146" s="3"/>
      <c r="S146" s="3"/>
      <c r="T146" s="3"/>
      <c r="U146" s="3"/>
      <c r="V146" s="3"/>
    </row>
    <row r="147" spans="1:22" ht="24.75" customHeight="1" x14ac:dyDescent="0.3">
      <c r="A147" s="3"/>
      <c r="B147" s="33"/>
      <c r="C147" s="3"/>
      <c r="D147" s="3"/>
      <c r="E147" s="3"/>
      <c r="F147" s="3"/>
      <c r="G147" s="3"/>
      <c r="H147" s="3"/>
      <c r="I147" s="3"/>
      <c r="J147" s="3"/>
      <c r="K147" s="3"/>
      <c r="L147" s="3"/>
      <c r="M147" s="3"/>
      <c r="N147" s="3"/>
      <c r="O147" s="3"/>
      <c r="P147" s="3"/>
      <c r="Q147" s="3"/>
      <c r="R147" s="3"/>
      <c r="S147" s="3"/>
      <c r="T147" s="3"/>
      <c r="U147" s="3"/>
      <c r="V147" s="3"/>
    </row>
    <row r="148" spans="1:22" ht="24.75" customHeight="1" x14ac:dyDescent="0.3">
      <c r="A148" s="3"/>
      <c r="B148" s="33"/>
      <c r="C148" s="3"/>
      <c r="D148" s="3"/>
      <c r="E148" s="3"/>
      <c r="F148" s="3"/>
      <c r="G148" s="3"/>
      <c r="H148" s="3"/>
      <c r="I148" s="3"/>
      <c r="J148" s="3"/>
      <c r="K148" s="3"/>
      <c r="L148" s="3"/>
      <c r="M148" s="3"/>
      <c r="N148" s="3"/>
      <c r="O148" s="3"/>
      <c r="P148" s="3"/>
      <c r="Q148" s="3"/>
      <c r="R148" s="3"/>
      <c r="S148" s="3"/>
      <c r="T148" s="3"/>
      <c r="U148" s="3"/>
      <c r="V148" s="3"/>
    </row>
    <row r="149" spans="1:22" ht="24.75" customHeight="1" x14ac:dyDescent="0.3">
      <c r="A149" s="3"/>
      <c r="B149" s="33"/>
      <c r="C149" s="3"/>
      <c r="D149" s="3"/>
      <c r="E149" s="3"/>
      <c r="F149" s="3"/>
      <c r="G149" s="3"/>
      <c r="H149" s="3"/>
      <c r="I149" s="3"/>
      <c r="J149" s="3"/>
      <c r="K149" s="3"/>
      <c r="L149" s="3"/>
      <c r="M149" s="3"/>
      <c r="N149" s="3"/>
      <c r="O149" s="3"/>
      <c r="P149" s="3"/>
      <c r="Q149" s="3"/>
      <c r="R149" s="3"/>
      <c r="S149" s="3"/>
      <c r="T149" s="3"/>
      <c r="U149" s="3"/>
      <c r="V149" s="3"/>
    </row>
    <row r="150" spans="1:22" ht="24.75" customHeight="1" x14ac:dyDescent="0.3">
      <c r="A150" s="3"/>
      <c r="B150" s="33"/>
      <c r="C150" s="3"/>
      <c r="D150" s="3"/>
      <c r="E150" s="3"/>
      <c r="F150" s="3"/>
      <c r="G150" s="3"/>
      <c r="H150" s="3"/>
      <c r="I150" s="3"/>
      <c r="J150" s="3"/>
      <c r="K150" s="3"/>
      <c r="L150" s="3"/>
      <c r="M150" s="3"/>
      <c r="N150" s="3"/>
      <c r="O150" s="3"/>
      <c r="P150" s="3"/>
      <c r="Q150" s="3"/>
      <c r="R150" s="3"/>
      <c r="S150" s="3"/>
      <c r="T150" s="3"/>
      <c r="U150" s="3"/>
      <c r="V150" s="3"/>
    </row>
    <row r="151" spans="1:22" ht="24.75" customHeight="1" x14ac:dyDescent="0.3">
      <c r="A151" s="3"/>
      <c r="B151" s="33"/>
      <c r="C151" s="3"/>
      <c r="D151" s="3"/>
      <c r="E151" s="3"/>
      <c r="F151" s="3"/>
      <c r="G151" s="3"/>
      <c r="H151" s="3"/>
      <c r="I151" s="3"/>
      <c r="J151" s="3"/>
      <c r="K151" s="3"/>
      <c r="L151" s="3"/>
      <c r="M151" s="3"/>
      <c r="N151" s="3"/>
      <c r="O151" s="3"/>
      <c r="P151" s="3"/>
      <c r="Q151" s="3"/>
      <c r="R151" s="3"/>
      <c r="S151" s="3"/>
      <c r="T151" s="3"/>
      <c r="U151" s="3"/>
      <c r="V151" s="3"/>
    </row>
    <row r="152" spans="1:22" ht="24.75" customHeight="1" x14ac:dyDescent="0.3">
      <c r="A152" s="3"/>
      <c r="B152" s="33"/>
      <c r="C152" s="3"/>
      <c r="D152" s="3"/>
      <c r="E152" s="3"/>
      <c r="F152" s="3"/>
      <c r="G152" s="3"/>
      <c r="H152" s="3"/>
      <c r="I152" s="3"/>
      <c r="J152" s="3"/>
      <c r="K152" s="3"/>
      <c r="L152" s="3"/>
      <c r="M152" s="3"/>
      <c r="N152" s="3"/>
      <c r="O152" s="3"/>
      <c r="P152" s="3"/>
      <c r="Q152" s="3"/>
      <c r="R152" s="3"/>
      <c r="S152" s="3"/>
      <c r="T152" s="3"/>
      <c r="U152" s="3"/>
      <c r="V152" s="3"/>
    </row>
    <row r="153" spans="1:22" ht="24.75" customHeight="1" x14ac:dyDescent="0.3">
      <c r="A153" s="3"/>
      <c r="B153" s="33"/>
      <c r="C153" s="3"/>
      <c r="D153" s="3"/>
      <c r="E153" s="3"/>
      <c r="F153" s="3"/>
      <c r="G153" s="3"/>
      <c r="H153" s="3"/>
      <c r="I153" s="3"/>
      <c r="J153" s="3"/>
      <c r="K153" s="3"/>
      <c r="L153" s="3"/>
      <c r="M153" s="3"/>
      <c r="N153" s="3"/>
      <c r="O153" s="3"/>
      <c r="P153" s="3"/>
      <c r="Q153" s="3"/>
      <c r="R153" s="3"/>
      <c r="S153" s="3"/>
      <c r="T153" s="3"/>
      <c r="U153" s="3"/>
      <c r="V153" s="3"/>
    </row>
    <row r="154" spans="1:22" ht="24.75" customHeight="1" x14ac:dyDescent="0.3">
      <c r="A154" s="3"/>
      <c r="B154" s="33"/>
      <c r="C154" s="3"/>
      <c r="D154" s="3"/>
      <c r="E154" s="3"/>
      <c r="F154" s="3"/>
      <c r="G154" s="3"/>
      <c r="H154" s="3"/>
      <c r="I154" s="3"/>
      <c r="J154" s="3"/>
      <c r="K154" s="3"/>
      <c r="L154" s="3"/>
      <c r="M154" s="3"/>
      <c r="N154" s="3"/>
      <c r="O154" s="3"/>
      <c r="P154" s="3"/>
      <c r="Q154" s="3"/>
      <c r="R154" s="3"/>
      <c r="S154" s="3"/>
      <c r="T154" s="3"/>
      <c r="U154" s="3"/>
      <c r="V154" s="3"/>
    </row>
    <row r="155" spans="1:22" ht="24.75" customHeight="1" x14ac:dyDescent="0.3">
      <c r="A155" s="3"/>
      <c r="B155" s="33"/>
      <c r="C155" s="3"/>
      <c r="D155" s="3"/>
      <c r="E155" s="3"/>
      <c r="F155" s="3"/>
      <c r="G155" s="3"/>
      <c r="H155" s="3"/>
      <c r="I155" s="3"/>
      <c r="J155" s="3"/>
      <c r="K155" s="3"/>
      <c r="L155" s="3"/>
      <c r="M155" s="3"/>
      <c r="N155" s="3"/>
      <c r="O155" s="3"/>
      <c r="P155" s="3"/>
      <c r="Q155" s="3"/>
      <c r="R155" s="3"/>
      <c r="S155" s="3"/>
      <c r="T155" s="3"/>
      <c r="U155" s="3"/>
      <c r="V155" s="3"/>
    </row>
    <row r="156" spans="1:22" ht="24.75" customHeight="1" x14ac:dyDescent="0.3">
      <c r="A156" s="3"/>
      <c r="B156" s="33"/>
      <c r="C156" s="3"/>
      <c r="D156" s="3"/>
      <c r="E156" s="3"/>
      <c r="F156" s="3"/>
      <c r="G156" s="3"/>
      <c r="H156" s="3"/>
      <c r="I156" s="3"/>
      <c r="J156" s="3"/>
      <c r="K156" s="3"/>
      <c r="L156" s="3"/>
      <c r="M156" s="3"/>
      <c r="N156" s="3"/>
      <c r="O156" s="3"/>
      <c r="P156" s="3"/>
      <c r="Q156" s="3"/>
      <c r="R156" s="3"/>
      <c r="S156" s="3"/>
      <c r="T156" s="3"/>
      <c r="U156" s="3"/>
      <c r="V156" s="3"/>
    </row>
    <row r="157" spans="1:22" ht="24.75" customHeight="1" x14ac:dyDescent="0.3">
      <c r="A157" s="3"/>
      <c r="B157" s="33"/>
      <c r="C157" s="3"/>
      <c r="D157" s="3"/>
      <c r="E157" s="3"/>
      <c r="F157" s="3"/>
      <c r="G157" s="3"/>
      <c r="H157" s="3"/>
      <c r="I157" s="3"/>
      <c r="J157" s="3"/>
      <c r="K157" s="3"/>
      <c r="L157" s="3"/>
      <c r="M157" s="3"/>
      <c r="N157" s="3"/>
      <c r="O157" s="3"/>
      <c r="P157" s="3"/>
      <c r="Q157" s="3"/>
      <c r="R157" s="3"/>
      <c r="S157" s="3"/>
      <c r="T157" s="3"/>
      <c r="U157" s="3"/>
      <c r="V157" s="3"/>
    </row>
    <row r="158" spans="1:22" ht="24.75" customHeight="1" x14ac:dyDescent="0.3">
      <c r="A158" s="3"/>
      <c r="B158" s="33"/>
      <c r="C158" s="3"/>
      <c r="D158" s="3"/>
      <c r="E158" s="3"/>
      <c r="F158" s="3"/>
      <c r="G158" s="3"/>
      <c r="H158" s="3"/>
      <c r="I158" s="3"/>
      <c r="J158" s="3"/>
      <c r="K158" s="3"/>
      <c r="L158" s="3"/>
      <c r="M158" s="3"/>
      <c r="N158" s="3"/>
      <c r="O158" s="3"/>
      <c r="P158" s="3"/>
      <c r="Q158" s="3"/>
      <c r="R158" s="3"/>
      <c r="S158" s="3"/>
      <c r="T158" s="3"/>
      <c r="U158" s="3"/>
      <c r="V158" s="3"/>
    </row>
    <row r="159" spans="1:22" ht="24.75" customHeight="1" x14ac:dyDescent="0.3">
      <c r="A159" s="3"/>
      <c r="B159" s="33"/>
      <c r="C159" s="3"/>
      <c r="D159" s="3"/>
      <c r="E159" s="3"/>
      <c r="F159" s="3"/>
      <c r="G159" s="3"/>
      <c r="H159" s="3"/>
      <c r="I159" s="3"/>
      <c r="J159" s="3"/>
      <c r="K159" s="3"/>
      <c r="L159" s="3"/>
      <c r="M159" s="3"/>
      <c r="N159" s="3"/>
      <c r="O159" s="3"/>
      <c r="P159" s="3"/>
      <c r="Q159" s="3"/>
      <c r="R159" s="3"/>
      <c r="S159" s="3"/>
      <c r="T159" s="3"/>
      <c r="U159" s="3"/>
      <c r="V159" s="3"/>
    </row>
    <row r="160" spans="1:22" ht="24.75" customHeight="1" x14ac:dyDescent="0.3">
      <c r="A160" s="3"/>
      <c r="B160" s="33"/>
      <c r="C160" s="3"/>
      <c r="D160" s="3"/>
      <c r="E160" s="3"/>
      <c r="F160" s="3"/>
      <c r="G160" s="3"/>
      <c r="H160" s="3"/>
      <c r="I160" s="3"/>
      <c r="J160" s="3"/>
      <c r="K160" s="3"/>
      <c r="L160" s="3"/>
      <c r="M160" s="3"/>
      <c r="N160" s="3"/>
      <c r="O160" s="3"/>
      <c r="P160" s="3"/>
      <c r="Q160" s="3"/>
      <c r="R160" s="3"/>
      <c r="S160" s="3"/>
      <c r="T160" s="3"/>
      <c r="U160" s="3"/>
      <c r="V160" s="3"/>
    </row>
    <row r="161" spans="1:22" ht="24.75" customHeight="1" x14ac:dyDescent="0.3">
      <c r="A161" s="3"/>
      <c r="B161" s="33"/>
      <c r="C161" s="3"/>
      <c r="D161" s="3"/>
      <c r="E161" s="3"/>
      <c r="F161" s="3"/>
      <c r="G161" s="3"/>
      <c r="H161" s="3"/>
      <c r="I161" s="3"/>
      <c r="J161" s="3"/>
      <c r="K161" s="3"/>
      <c r="L161" s="3"/>
      <c r="M161" s="3"/>
      <c r="N161" s="3"/>
      <c r="O161" s="3"/>
      <c r="P161" s="3"/>
      <c r="Q161" s="3"/>
      <c r="R161" s="3"/>
      <c r="S161" s="3"/>
      <c r="T161" s="3"/>
      <c r="U161" s="3"/>
      <c r="V161" s="3"/>
    </row>
    <row r="162" spans="1:22" ht="24.75" customHeight="1" x14ac:dyDescent="0.3">
      <c r="A162" s="3"/>
      <c r="B162" s="33"/>
      <c r="C162" s="3"/>
      <c r="D162" s="3"/>
      <c r="E162" s="3"/>
      <c r="F162" s="3"/>
      <c r="G162" s="3"/>
      <c r="H162" s="3"/>
      <c r="I162" s="3"/>
      <c r="J162" s="3"/>
      <c r="K162" s="3"/>
      <c r="L162" s="3"/>
      <c r="M162" s="3"/>
      <c r="N162" s="3"/>
      <c r="O162" s="3"/>
      <c r="P162" s="3"/>
      <c r="Q162" s="3"/>
      <c r="R162" s="3"/>
      <c r="S162" s="3"/>
      <c r="T162" s="3"/>
      <c r="U162" s="3"/>
      <c r="V162" s="3"/>
    </row>
    <row r="163" spans="1:22" ht="24.75" customHeight="1" x14ac:dyDescent="0.3">
      <c r="A163" s="3"/>
      <c r="B163" s="33"/>
      <c r="C163" s="3"/>
      <c r="D163" s="3"/>
      <c r="E163" s="3"/>
      <c r="F163" s="3"/>
      <c r="G163" s="3"/>
      <c r="H163" s="3"/>
      <c r="I163" s="3"/>
      <c r="J163" s="3"/>
      <c r="K163" s="3"/>
      <c r="L163" s="3"/>
      <c r="M163" s="3"/>
      <c r="N163" s="3"/>
      <c r="O163" s="3"/>
      <c r="P163" s="3"/>
      <c r="Q163" s="3"/>
      <c r="R163" s="3"/>
      <c r="S163" s="3"/>
      <c r="T163" s="3"/>
      <c r="U163" s="3"/>
      <c r="V163" s="3"/>
    </row>
    <row r="164" spans="1:22" ht="24.75" customHeight="1" x14ac:dyDescent="0.3">
      <c r="A164" s="3"/>
      <c r="B164" s="33"/>
      <c r="C164" s="3"/>
      <c r="D164" s="3"/>
      <c r="E164" s="3"/>
      <c r="F164" s="3"/>
      <c r="G164" s="3"/>
      <c r="H164" s="3"/>
      <c r="I164" s="3"/>
      <c r="J164" s="3"/>
      <c r="K164" s="3"/>
      <c r="L164" s="3"/>
      <c r="M164" s="3"/>
      <c r="N164" s="3"/>
      <c r="O164" s="3"/>
      <c r="P164" s="3"/>
      <c r="Q164" s="3"/>
      <c r="R164" s="3"/>
      <c r="S164" s="3"/>
      <c r="T164" s="3"/>
      <c r="U164" s="3"/>
      <c r="V164" s="3"/>
    </row>
    <row r="165" spans="1:22" ht="24.75" customHeight="1" x14ac:dyDescent="0.3">
      <c r="A165" s="3"/>
      <c r="B165" s="33"/>
      <c r="C165" s="3"/>
      <c r="D165" s="3"/>
      <c r="E165" s="3"/>
      <c r="F165" s="3"/>
      <c r="G165" s="3"/>
      <c r="H165" s="3"/>
      <c r="I165" s="3"/>
      <c r="J165" s="3"/>
      <c r="K165" s="3"/>
      <c r="L165" s="3"/>
      <c r="M165" s="3"/>
      <c r="N165" s="3"/>
      <c r="O165" s="3"/>
      <c r="P165" s="3"/>
      <c r="Q165" s="3"/>
      <c r="R165" s="3"/>
      <c r="S165" s="3"/>
      <c r="T165" s="3"/>
      <c r="U165" s="3"/>
      <c r="V165" s="3"/>
    </row>
    <row r="166" spans="1:22" ht="24.75" customHeight="1" x14ac:dyDescent="0.3">
      <c r="A166" s="3"/>
      <c r="B166" s="33"/>
      <c r="C166" s="3"/>
      <c r="D166" s="3"/>
      <c r="E166" s="3"/>
      <c r="F166" s="3"/>
      <c r="G166" s="3"/>
      <c r="H166" s="3"/>
      <c r="I166" s="3"/>
      <c r="J166" s="3"/>
      <c r="K166" s="3"/>
      <c r="L166" s="3"/>
      <c r="M166" s="3"/>
      <c r="N166" s="3"/>
      <c r="O166" s="3"/>
      <c r="P166" s="3"/>
      <c r="Q166" s="3"/>
      <c r="R166" s="3"/>
      <c r="S166" s="3"/>
      <c r="T166" s="3"/>
      <c r="U166" s="3"/>
      <c r="V166" s="3"/>
    </row>
    <row r="167" spans="1:22" ht="24.75" customHeight="1" x14ac:dyDescent="0.3">
      <c r="A167" s="3"/>
      <c r="B167" s="33"/>
      <c r="C167" s="3"/>
      <c r="D167" s="3"/>
      <c r="E167" s="3"/>
      <c r="F167" s="3"/>
      <c r="G167" s="3"/>
      <c r="H167" s="3"/>
      <c r="I167" s="3"/>
      <c r="J167" s="3"/>
      <c r="K167" s="3"/>
      <c r="L167" s="3"/>
      <c r="M167" s="3"/>
      <c r="N167" s="3"/>
      <c r="O167" s="3"/>
      <c r="P167" s="3"/>
      <c r="Q167" s="3"/>
      <c r="R167" s="3"/>
      <c r="S167" s="3"/>
      <c r="T167" s="3"/>
      <c r="U167" s="3"/>
      <c r="V167" s="3"/>
    </row>
    <row r="168" spans="1:22" ht="24.75" customHeight="1" x14ac:dyDescent="0.3">
      <c r="A168" s="3"/>
      <c r="B168" s="33"/>
      <c r="C168" s="3"/>
      <c r="D168" s="3"/>
      <c r="E168" s="3"/>
      <c r="F168" s="3"/>
      <c r="G168" s="3"/>
      <c r="H168" s="3"/>
      <c r="I168" s="3"/>
      <c r="J168" s="3"/>
      <c r="K168" s="3"/>
      <c r="L168" s="3"/>
      <c r="M168" s="3"/>
      <c r="N168" s="3"/>
      <c r="O168" s="3"/>
      <c r="P168" s="3"/>
      <c r="Q168" s="3"/>
      <c r="R168" s="3"/>
      <c r="S168" s="3"/>
      <c r="T168" s="3"/>
      <c r="U168" s="3"/>
      <c r="V168" s="3"/>
    </row>
    <row r="169" spans="1:22" ht="24.75" customHeight="1" x14ac:dyDescent="0.3">
      <c r="A169" s="3"/>
      <c r="B169" s="33"/>
      <c r="C169" s="3"/>
      <c r="D169" s="3"/>
      <c r="E169" s="3"/>
      <c r="F169" s="3"/>
      <c r="G169" s="3"/>
      <c r="H169" s="3"/>
      <c r="I169" s="3"/>
      <c r="J169" s="3"/>
      <c r="K169" s="3"/>
      <c r="L169" s="3"/>
      <c r="M169" s="3"/>
      <c r="N169" s="3"/>
      <c r="O169" s="3"/>
      <c r="P169" s="3"/>
      <c r="Q169" s="3"/>
      <c r="R169" s="3"/>
      <c r="S169" s="3"/>
      <c r="T169" s="3"/>
      <c r="U169" s="3"/>
      <c r="V169" s="3"/>
    </row>
    <row r="170" spans="1:22" ht="24.75" customHeight="1" x14ac:dyDescent="0.3">
      <c r="A170" s="3"/>
      <c r="B170" s="33"/>
      <c r="C170" s="3"/>
      <c r="D170" s="3"/>
      <c r="E170" s="3"/>
      <c r="F170" s="3"/>
      <c r="G170" s="3"/>
      <c r="H170" s="3"/>
      <c r="I170" s="3"/>
      <c r="J170" s="3"/>
      <c r="K170" s="3"/>
      <c r="L170" s="3"/>
      <c r="M170" s="3"/>
      <c r="N170" s="3"/>
      <c r="O170" s="3"/>
      <c r="P170" s="3"/>
      <c r="Q170" s="3"/>
      <c r="R170" s="3"/>
      <c r="S170" s="3"/>
      <c r="T170" s="3"/>
      <c r="U170" s="3"/>
      <c r="V170" s="3"/>
    </row>
    <row r="171" spans="1:22" ht="24.75" customHeight="1" x14ac:dyDescent="0.3">
      <c r="A171" s="3"/>
      <c r="B171" s="33"/>
      <c r="C171" s="3"/>
      <c r="D171" s="3"/>
      <c r="E171" s="3"/>
      <c r="F171" s="3"/>
      <c r="G171" s="3"/>
      <c r="H171" s="3"/>
      <c r="I171" s="3"/>
      <c r="J171" s="3"/>
      <c r="K171" s="3"/>
      <c r="L171" s="3"/>
      <c r="M171" s="3"/>
      <c r="N171" s="3"/>
      <c r="O171" s="3"/>
      <c r="P171" s="3"/>
      <c r="Q171" s="3"/>
      <c r="R171" s="3"/>
      <c r="S171" s="3"/>
      <c r="T171" s="3"/>
      <c r="U171" s="3"/>
      <c r="V171" s="3"/>
    </row>
    <row r="172" spans="1:22" ht="24.75" customHeight="1" x14ac:dyDescent="0.3">
      <c r="A172" s="3"/>
      <c r="B172" s="33"/>
      <c r="C172" s="3"/>
      <c r="D172" s="3"/>
      <c r="E172" s="3"/>
      <c r="F172" s="3"/>
      <c r="G172" s="3"/>
      <c r="H172" s="3"/>
      <c r="I172" s="3"/>
      <c r="J172" s="3"/>
      <c r="K172" s="3"/>
      <c r="L172" s="3"/>
      <c r="M172" s="3"/>
      <c r="N172" s="3"/>
      <c r="O172" s="3"/>
      <c r="P172" s="3"/>
      <c r="Q172" s="3"/>
      <c r="R172" s="3"/>
      <c r="S172" s="3"/>
      <c r="T172" s="3"/>
      <c r="U172" s="3"/>
      <c r="V172" s="3"/>
    </row>
    <row r="173" spans="1:22" ht="24.75" customHeight="1" x14ac:dyDescent="0.3">
      <c r="A173" s="3"/>
      <c r="B173" s="33"/>
      <c r="C173" s="3"/>
      <c r="D173" s="3"/>
      <c r="E173" s="3"/>
      <c r="F173" s="3"/>
      <c r="G173" s="3"/>
      <c r="H173" s="3"/>
      <c r="I173" s="3"/>
      <c r="J173" s="3"/>
      <c r="K173" s="3"/>
      <c r="L173" s="3"/>
      <c r="M173" s="3"/>
      <c r="N173" s="3"/>
      <c r="O173" s="3"/>
      <c r="P173" s="3"/>
      <c r="Q173" s="3"/>
      <c r="R173" s="3"/>
      <c r="S173" s="3"/>
      <c r="T173" s="3"/>
      <c r="U173" s="3"/>
      <c r="V173" s="3"/>
    </row>
    <row r="174" spans="1:22" ht="24.75" customHeight="1" x14ac:dyDescent="0.3">
      <c r="A174" s="3"/>
      <c r="B174" s="33"/>
      <c r="C174" s="3"/>
      <c r="D174" s="3"/>
      <c r="E174" s="3"/>
      <c r="F174" s="3"/>
      <c r="G174" s="3"/>
      <c r="H174" s="3"/>
      <c r="I174" s="3"/>
      <c r="J174" s="3"/>
      <c r="K174" s="3"/>
      <c r="L174" s="3"/>
      <c r="M174" s="3"/>
      <c r="N174" s="3"/>
      <c r="O174" s="3"/>
      <c r="P174" s="3"/>
      <c r="Q174" s="3"/>
      <c r="R174" s="3"/>
      <c r="S174" s="3"/>
      <c r="T174" s="3"/>
      <c r="U174" s="3"/>
      <c r="V174" s="3"/>
    </row>
    <row r="175" spans="1:22" ht="24.75" customHeight="1" x14ac:dyDescent="0.3">
      <c r="A175" s="3"/>
      <c r="B175" s="33"/>
      <c r="C175" s="3"/>
      <c r="D175" s="3"/>
      <c r="E175" s="3"/>
      <c r="F175" s="3"/>
      <c r="G175" s="3"/>
      <c r="H175" s="3"/>
      <c r="I175" s="3"/>
      <c r="J175" s="3"/>
      <c r="K175" s="3"/>
      <c r="L175" s="3"/>
      <c r="M175" s="3"/>
      <c r="N175" s="3"/>
      <c r="O175" s="3"/>
      <c r="P175" s="3"/>
      <c r="Q175" s="3"/>
      <c r="R175" s="3"/>
      <c r="S175" s="3"/>
      <c r="T175" s="3"/>
      <c r="U175" s="3"/>
      <c r="V175" s="3"/>
    </row>
    <row r="176" spans="1:22" ht="24.75" customHeight="1" x14ac:dyDescent="0.3">
      <c r="A176" s="3"/>
      <c r="B176" s="33"/>
      <c r="C176" s="3"/>
      <c r="D176" s="3"/>
      <c r="E176" s="3"/>
      <c r="F176" s="3"/>
      <c r="G176" s="3"/>
      <c r="H176" s="3"/>
      <c r="I176" s="3"/>
      <c r="J176" s="3"/>
      <c r="K176" s="3"/>
      <c r="L176" s="3"/>
      <c r="M176" s="3"/>
      <c r="N176" s="3"/>
      <c r="O176" s="3"/>
      <c r="P176" s="3"/>
      <c r="Q176" s="3"/>
      <c r="R176" s="3"/>
      <c r="S176" s="3"/>
      <c r="T176" s="3"/>
      <c r="U176" s="3"/>
      <c r="V176" s="3"/>
    </row>
    <row r="177" spans="1:22" ht="24.75" customHeight="1" x14ac:dyDescent="0.3">
      <c r="A177" s="3"/>
      <c r="B177" s="33"/>
      <c r="C177" s="3"/>
      <c r="D177" s="3"/>
      <c r="E177" s="3"/>
      <c r="F177" s="3"/>
      <c r="G177" s="3"/>
      <c r="H177" s="3"/>
      <c r="I177" s="3"/>
      <c r="J177" s="3"/>
      <c r="K177" s="3"/>
      <c r="L177" s="3"/>
      <c r="M177" s="3"/>
      <c r="N177" s="3"/>
      <c r="O177" s="3"/>
      <c r="P177" s="3"/>
      <c r="Q177" s="3"/>
      <c r="R177" s="3"/>
      <c r="S177" s="3"/>
      <c r="T177" s="3"/>
      <c r="U177" s="3"/>
      <c r="V177" s="3"/>
    </row>
    <row r="178" spans="1:22" ht="24.75" customHeight="1" x14ac:dyDescent="0.3">
      <c r="A178" s="3"/>
      <c r="B178" s="33"/>
      <c r="C178" s="3"/>
      <c r="D178" s="3"/>
      <c r="E178" s="3"/>
      <c r="F178" s="3"/>
      <c r="G178" s="3"/>
      <c r="H178" s="3"/>
      <c r="I178" s="3"/>
      <c r="J178" s="3"/>
      <c r="K178" s="3"/>
      <c r="L178" s="3"/>
      <c r="M178" s="3"/>
      <c r="N178" s="3"/>
      <c r="O178" s="3"/>
      <c r="P178" s="3"/>
      <c r="Q178" s="3"/>
      <c r="R178" s="3"/>
      <c r="S178" s="3"/>
      <c r="T178" s="3"/>
      <c r="U178" s="3"/>
      <c r="V178" s="3"/>
    </row>
    <row r="179" spans="1:22" ht="24.75" customHeight="1" x14ac:dyDescent="0.3">
      <c r="A179" s="3"/>
      <c r="B179" s="33"/>
      <c r="C179" s="3"/>
      <c r="D179" s="3"/>
      <c r="E179" s="3"/>
      <c r="F179" s="3"/>
      <c r="G179" s="3"/>
      <c r="H179" s="3"/>
      <c r="I179" s="3"/>
      <c r="J179" s="3"/>
      <c r="K179" s="3"/>
      <c r="L179" s="3"/>
      <c r="M179" s="3"/>
      <c r="N179" s="3"/>
      <c r="O179" s="3"/>
      <c r="P179" s="3"/>
      <c r="Q179" s="3"/>
      <c r="R179" s="3"/>
      <c r="S179" s="3"/>
      <c r="T179" s="3"/>
      <c r="U179" s="3"/>
      <c r="V179" s="3"/>
    </row>
    <row r="180" spans="1:22" ht="24.75" customHeight="1" x14ac:dyDescent="0.3">
      <c r="A180" s="3"/>
      <c r="B180" s="33"/>
      <c r="C180" s="3"/>
      <c r="D180" s="3"/>
      <c r="E180" s="3"/>
      <c r="F180" s="3"/>
      <c r="G180" s="3"/>
      <c r="H180" s="3"/>
      <c r="I180" s="3"/>
      <c r="J180" s="3"/>
      <c r="K180" s="3"/>
      <c r="L180" s="3"/>
      <c r="M180" s="3"/>
      <c r="N180" s="3"/>
      <c r="O180" s="3"/>
      <c r="P180" s="3"/>
      <c r="Q180" s="3"/>
      <c r="R180" s="3"/>
      <c r="S180" s="3"/>
      <c r="T180" s="3"/>
      <c r="U180" s="3"/>
      <c r="V180" s="3"/>
    </row>
    <row r="181" spans="1:22" ht="24.75" customHeight="1" x14ac:dyDescent="0.3">
      <c r="A181" s="3"/>
      <c r="B181" s="33"/>
      <c r="C181" s="3"/>
      <c r="D181" s="3"/>
      <c r="E181" s="3"/>
      <c r="F181" s="3"/>
      <c r="G181" s="3"/>
      <c r="H181" s="3"/>
      <c r="I181" s="3"/>
      <c r="J181" s="3"/>
      <c r="K181" s="3"/>
      <c r="L181" s="3"/>
      <c r="M181" s="3"/>
      <c r="N181" s="3"/>
      <c r="O181" s="3"/>
      <c r="P181" s="3"/>
      <c r="Q181" s="3"/>
      <c r="R181" s="3"/>
      <c r="S181" s="3"/>
      <c r="T181" s="3"/>
      <c r="U181" s="3"/>
      <c r="V181" s="3"/>
    </row>
    <row r="182" spans="1:22" ht="24.75" customHeight="1" x14ac:dyDescent="0.3">
      <c r="A182" s="3"/>
      <c r="B182" s="33"/>
      <c r="C182" s="3"/>
      <c r="D182" s="3"/>
      <c r="E182" s="3"/>
      <c r="F182" s="3"/>
      <c r="G182" s="3"/>
      <c r="H182" s="3"/>
      <c r="I182" s="3"/>
      <c r="J182" s="3"/>
      <c r="K182" s="3"/>
      <c r="L182" s="3"/>
      <c r="M182" s="3"/>
      <c r="N182" s="3"/>
      <c r="O182" s="3"/>
      <c r="P182" s="3"/>
      <c r="Q182" s="3"/>
      <c r="R182" s="3"/>
      <c r="S182" s="3"/>
      <c r="T182" s="3"/>
      <c r="U182" s="3"/>
      <c r="V182" s="3"/>
    </row>
    <row r="183" spans="1:22" ht="24.75" customHeight="1" x14ac:dyDescent="0.3">
      <c r="A183" s="3"/>
      <c r="B183" s="33"/>
      <c r="C183" s="3"/>
      <c r="D183" s="3"/>
      <c r="E183" s="3"/>
      <c r="F183" s="3"/>
      <c r="G183" s="3"/>
      <c r="H183" s="3"/>
      <c r="I183" s="3"/>
      <c r="J183" s="3"/>
      <c r="K183" s="3"/>
      <c r="L183" s="3"/>
      <c r="M183" s="3"/>
      <c r="N183" s="3"/>
      <c r="O183" s="3"/>
      <c r="P183" s="3"/>
      <c r="Q183" s="3"/>
      <c r="R183" s="3"/>
      <c r="S183" s="3"/>
      <c r="T183" s="3"/>
      <c r="U183" s="3"/>
      <c r="V183" s="3"/>
    </row>
    <row r="184" spans="1:22" ht="24.75" customHeight="1" x14ac:dyDescent="0.3">
      <c r="A184" s="3"/>
      <c r="B184" s="33"/>
      <c r="C184" s="3"/>
      <c r="D184" s="3"/>
      <c r="E184" s="3"/>
      <c r="F184" s="3"/>
      <c r="G184" s="3"/>
      <c r="H184" s="3"/>
      <c r="I184" s="3"/>
      <c r="J184" s="3"/>
      <c r="K184" s="3"/>
      <c r="L184" s="3"/>
      <c r="M184" s="3"/>
      <c r="N184" s="3"/>
      <c r="O184" s="3"/>
      <c r="P184" s="3"/>
      <c r="Q184" s="3"/>
      <c r="R184" s="3"/>
      <c r="S184" s="3"/>
      <c r="T184" s="3"/>
      <c r="U184" s="3"/>
      <c r="V184" s="3"/>
    </row>
    <row r="185" spans="1:22" ht="24.75" customHeight="1" x14ac:dyDescent="0.3">
      <c r="A185" s="3"/>
      <c r="B185" s="33"/>
      <c r="C185" s="3"/>
      <c r="D185" s="3"/>
      <c r="E185" s="3"/>
      <c r="F185" s="3"/>
      <c r="G185" s="3"/>
      <c r="H185" s="3"/>
      <c r="I185" s="3"/>
      <c r="J185" s="3"/>
      <c r="K185" s="3"/>
      <c r="L185" s="3"/>
      <c r="M185" s="3"/>
      <c r="N185" s="3"/>
      <c r="O185" s="3"/>
      <c r="P185" s="3"/>
      <c r="Q185" s="3"/>
      <c r="R185" s="3"/>
      <c r="S185" s="3"/>
      <c r="T185" s="3"/>
      <c r="U185" s="3"/>
      <c r="V185" s="3"/>
    </row>
    <row r="186" spans="1:22" ht="24.75" customHeight="1" x14ac:dyDescent="0.3">
      <c r="A186" s="3"/>
      <c r="B186" s="33"/>
      <c r="C186" s="3"/>
      <c r="D186" s="3"/>
      <c r="E186" s="3"/>
      <c r="F186" s="3"/>
      <c r="G186" s="3"/>
      <c r="H186" s="3"/>
      <c r="I186" s="3"/>
      <c r="J186" s="3"/>
      <c r="K186" s="3"/>
      <c r="L186" s="3"/>
      <c r="M186" s="3"/>
      <c r="N186" s="3"/>
      <c r="O186" s="3"/>
      <c r="P186" s="3"/>
      <c r="Q186" s="3"/>
      <c r="R186" s="3"/>
      <c r="S186" s="3"/>
      <c r="T186" s="3"/>
      <c r="U186" s="3"/>
      <c r="V186" s="3"/>
    </row>
    <row r="187" spans="1:22" ht="24.75" customHeight="1" x14ac:dyDescent="0.3">
      <c r="A187" s="3"/>
      <c r="B187" s="33"/>
      <c r="C187" s="3"/>
      <c r="D187" s="3"/>
      <c r="E187" s="3"/>
      <c r="F187" s="3"/>
      <c r="G187" s="3"/>
      <c r="H187" s="3"/>
      <c r="I187" s="3"/>
      <c r="J187" s="3"/>
      <c r="K187" s="3"/>
      <c r="L187" s="3"/>
      <c r="M187" s="3"/>
      <c r="N187" s="3"/>
      <c r="O187" s="3"/>
      <c r="P187" s="3"/>
      <c r="Q187" s="3"/>
      <c r="R187" s="3"/>
      <c r="S187" s="3"/>
      <c r="T187" s="3"/>
      <c r="U187" s="3"/>
      <c r="V187" s="3"/>
    </row>
    <row r="188" spans="1:22" ht="24.75" customHeight="1" x14ac:dyDescent="0.3">
      <c r="A188" s="3"/>
      <c r="B188" s="33"/>
      <c r="C188" s="3"/>
      <c r="D188" s="3"/>
      <c r="E188" s="3"/>
      <c r="F188" s="3"/>
      <c r="G188" s="3"/>
      <c r="H188" s="3"/>
      <c r="I188" s="3"/>
      <c r="J188" s="3"/>
      <c r="K188" s="3"/>
      <c r="L188" s="3"/>
      <c r="M188" s="3"/>
      <c r="N188" s="3"/>
      <c r="O188" s="3"/>
      <c r="P188" s="3"/>
      <c r="Q188" s="3"/>
      <c r="R188" s="3"/>
      <c r="S188" s="3"/>
      <c r="T188" s="3"/>
      <c r="U188" s="3"/>
      <c r="V188" s="3"/>
    </row>
    <row r="189" spans="1:22" ht="24.75" customHeight="1" x14ac:dyDescent="0.3">
      <c r="A189" s="3"/>
      <c r="B189" s="33"/>
      <c r="C189" s="3"/>
      <c r="D189" s="3"/>
      <c r="E189" s="3"/>
      <c r="F189" s="3"/>
      <c r="G189" s="3"/>
      <c r="H189" s="3"/>
      <c r="I189" s="3"/>
      <c r="J189" s="3"/>
      <c r="K189" s="3"/>
      <c r="L189" s="3"/>
      <c r="M189" s="3"/>
      <c r="N189" s="3"/>
      <c r="O189" s="3"/>
      <c r="P189" s="3"/>
      <c r="Q189" s="3"/>
      <c r="R189" s="3"/>
      <c r="S189" s="3"/>
      <c r="T189" s="3"/>
      <c r="U189" s="3"/>
      <c r="V189" s="3"/>
    </row>
    <row r="190" spans="1:22" ht="24.75" customHeight="1" x14ac:dyDescent="0.3">
      <c r="A190" s="3"/>
      <c r="B190" s="33"/>
      <c r="C190" s="3"/>
      <c r="D190" s="3"/>
      <c r="E190" s="3"/>
      <c r="F190" s="3"/>
      <c r="G190" s="3"/>
      <c r="H190" s="3"/>
      <c r="I190" s="3"/>
      <c r="J190" s="3"/>
      <c r="K190" s="3"/>
      <c r="L190" s="3"/>
      <c r="M190" s="3"/>
      <c r="N190" s="3"/>
      <c r="O190" s="3"/>
      <c r="P190" s="3"/>
      <c r="Q190" s="3"/>
      <c r="R190" s="3"/>
      <c r="S190" s="3"/>
      <c r="T190" s="3"/>
      <c r="U190" s="3"/>
      <c r="V190" s="3"/>
    </row>
    <row r="191" spans="1:22" ht="24.75" customHeight="1" x14ac:dyDescent="0.3">
      <c r="A191" s="3"/>
      <c r="B191" s="33"/>
      <c r="C191" s="3"/>
      <c r="D191" s="3"/>
      <c r="E191" s="3"/>
      <c r="F191" s="3"/>
      <c r="G191" s="3"/>
      <c r="H191" s="3"/>
      <c r="I191" s="3"/>
      <c r="J191" s="3"/>
      <c r="K191" s="3"/>
      <c r="L191" s="3"/>
      <c r="M191" s="3"/>
      <c r="N191" s="3"/>
      <c r="O191" s="3"/>
      <c r="P191" s="3"/>
      <c r="Q191" s="3"/>
      <c r="R191" s="3"/>
      <c r="S191" s="3"/>
      <c r="T191" s="3"/>
      <c r="U191" s="3"/>
      <c r="V191" s="3"/>
    </row>
    <row r="192" spans="1:22" ht="24.75" customHeight="1" x14ac:dyDescent="0.3">
      <c r="A192" s="3"/>
      <c r="B192" s="33"/>
      <c r="C192" s="3"/>
      <c r="D192" s="3"/>
      <c r="E192" s="3"/>
      <c r="F192" s="3"/>
      <c r="G192" s="3"/>
      <c r="H192" s="3"/>
      <c r="I192" s="3"/>
      <c r="J192" s="3"/>
      <c r="K192" s="3"/>
      <c r="L192" s="3"/>
      <c r="M192" s="3"/>
      <c r="N192" s="3"/>
      <c r="O192" s="3"/>
      <c r="P192" s="3"/>
      <c r="Q192" s="3"/>
      <c r="R192" s="3"/>
      <c r="S192" s="3"/>
      <c r="T192" s="3"/>
      <c r="U192" s="3"/>
      <c r="V192" s="3"/>
    </row>
    <row r="193" spans="1:22" ht="24.75" customHeight="1" x14ac:dyDescent="0.3">
      <c r="A193" s="3"/>
      <c r="B193" s="33"/>
      <c r="C193" s="3"/>
      <c r="D193" s="3"/>
      <c r="E193" s="3"/>
      <c r="F193" s="3"/>
      <c r="G193" s="3"/>
      <c r="H193" s="3"/>
      <c r="I193" s="3"/>
      <c r="J193" s="3"/>
      <c r="K193" s="3"/>
      <c r="L193" s="3"/>
      <c r="M193" s="3"/>
      <c r="N193" s="3"/>
      <c r="O193" s="3"/>
      <c r="P193" s="3"/>
      <c r="Q193" s="3"/>
      <c r="R193" s="3"/>
      <c r="S193" s="3"/>
      <c r="T193" s="3"/>
      <c r="U193" s="3"/>
      <c r="V193" s="3"/>
    </row>
    <row r="194" spans="1:22" ht="24.75" customHeight="1" x14ac:dyDescent="0.3">
      <c r="A194" s="3"/>
      <c r="B194" s="33"/>
      <c r="C194" s="3"/>
      <c r="D194" s="3"/>
      <c r="E194" s="3"/>
      <c r="F194" s="3"/>
      <c r="G194" s="3"/>
      <c r="H194" s="3"/>
      <c r="I194" s="3"/>
      <c r="J194" s="3"/>
      <c r="K194" s="3"/>
      <c r="L194" s="3"/>
      <c r="M194" s="3"/>
      <c r="N194" s="3"/>
      <c r="O194" s="3"/>
      <c r="P194" s="3"/>
      <c r="Q194" s="3"/>
      <c r="R194" s="3"/>
      <c r="S194" s="3"/>
      <c r="T194" s="3"/>
      <c r="U194" s="3"/>
      <c r="V194" s="3"/>
    </row>
    <row r="195" spans="1:22" ht="24.75" customHeight="1" x14ac:dyDescent="0.3">
      <c r="A195" s="3"/>
      <c r="B195" s="33"/>
      <c r="C195" s="3"/>
      <c r="D195" s="3"/>
      <c r="E195" s="3"/>
      <c r="F195" s="3"/>
      <c r="G195" s="3"/>
      <c r="H195" s="3"/>
      <c r="I195" s="3"/>
      <c r="J195" s="3"/>
      <c r="K195" s="3"/>
      <c r="L195" s="3"/>
      <c r="M195" s="3"/>
      <c r="N195" s="3"/>
      <c r="O195" s="3"/>
      <c r="P195" s="3"/>
      <c r="Q195" s="3"/>
      <c r="R195" s="3"/>
      <c r="S195" s="3"/>
      <c r="T195" s="3"/>
      <c r="U195" s="3"/>
      <c r="V195" s="3"/>
    </row>
    <row r="196" spans="1:22" ht="24.75" customHeight="1" x14ac:dyDescent="0.3">
      <c r="A196" s="3"/>
      <c r="B196" s="33"/>
      <c r="C196" s="3"/>
      <c r="D196" s="3"/>
      <c r="E196" s="3"/>
      <c r="F196" s="3"/>
      <c r="G196" s="3"/>
      <c r="H196" s="3"/>
      <c r="I196" s="3"/>
      <c r="J196" s="3"/>
      <c r="K196" s="3"/>
      <c r="L196" s="3"/>
      <c r="M196" s="3"/>
      <c r="N196" s="3"/>
      <c r="O196" s="3"/>
      <c r="P196" s="3"/>
      <c r="Q196" s="3"/>
      <c r="R196" s="3"/>
      <c r="S196" s="3"/>
      <c r="T196" s="3"/>
      <c r="U196" s="3"/>
      <c r="V196" s="3"/>
    </row>
    <row r="197" spans="1:22" ht="24.75" customHeight="1" x14ac:dyDescent="0.3">
      <c r="A197" s="3"/>
      <c r="B197" s="33"/>
      <c r="C197" s="3"/>
      <c r="D197" s="3"/>
      <c r="E197" s="3"/>
      <c r="F197" s="3"/>
      <c r="G197" s="3"/>
      <c r="H197" s="3"/>
      <c r="I197" s="3"/>
      <c r="J197" s="3"/>
      <c r="K197" s="3"/>
      <c r="L197" s="3"/>
      <c r="M197" s="3"/>
      <c r="N197" s="3"/>
      <c r="O197" s="3"/>
      <c r="P197" s="3"/>
      <c r="Q197" s="3"/>
      <c r="R197" s="3"/>
      <c r="S197" s="3"/>
      <c r="T197" s="3"/>
      <c r="U197" s="3"/>
      <c r="V197" s="3"/>
    </row>
    <row r="198" spans="1:22" ht="24.75" customHeight="1" x14ac:dyDescent="0.3">
      <c r="A198" s="3"/>
      <c r="B198" s="33"/>
      <c r="C198" s="3"/>
      <c r="D198" s="3"/>
      <c r="E198" s="3"/>
      <c r="F198" s="3"/>
      <c r="G198" s="3"/>
      <c r="H198" s="3"/>
      <c r="I198" s="3"/>
      <c r="J198" s="3"/>
      <c r="K198" s="3"/>
      <c r="L198" s="3"/>
      <c r="M198" s="3"/>
      <c r="N198" s="3"/>
      <c r="O198" s="3"/>
      <c r="P198" s="3"/>
      <c r="Q198" s="3"/>
      <c r="R198" s="3"/>
      <c r="S198" s="3"/>
      <c r="T198" s="3"/>
      <c r="U198" s="3"/>
      <c r="V198" s="3"/>
    </row>
    <row r="199" spans="1:22" ht="24.75" customHeight="1" x14ac:dyDescent="0.3">
      <c r="A199" s="3"/>
      <c r="B199" s="33"/>
      <c r="C199" s="3"/>
      <c r="D199" s="3"/>
      <c r="E199" s="3"/>
      <c r="F199" s="3"/>
      <c r="G199" s="3"/>
      <c r="H199" s="3"/>
      <c r="I199" s="3"/>
      <c r="J199" s="3"/>
      <c r="K199" s="3"/>
      <c r="L199" s="3"/>
      <c r="M199" s="3"/>
      <c r="N199" s="3"/>
      <c r="O199" s="3"/>
      <c r="P199" s="3"/>
      <c r="Q199" s="3"/>
      <c r="R199" s="3"/>
      <c r="S199" s="3"/>
      <c r="T199" s="3"/>
      <c r="U199" s="3"/>
      <c r="V199" s="3"/>
    </row>
    <row r="200" spans="1:22" ht="24.75" customHeight="1" x14ac:dyDescent="0.3">
      <c r="A200" s="3"/>
      <c r="B200" s="33"/>
      <c r="C200" s="3"/>
      <c r="D200" s="3"/>
      <c r="E200" s="3"/>
      <c r="F200" s="3"/>
      <c r="G200" s="3"/>
      <c r="H200" s="3"/>
      <c r="I200" s="3"/>
      <c r="J200" s="3"/>
      <c r="K200" s="3"/>
      <c r="L200" s="3"/>
      <c r="M200" s="3"/>
      <c r="N200" s="3"/>
      <c r="O200" s="3"/>
      <c r="P200" s="3"/>
      <c r="Q200" s="3"/>
      <c r="R200" s="3"/>
      <c r="S200" s="3"/>
      <c r="T200" s="3"/>
      <c r="U200" s="3"/>
      <c r="V200" s="3"/>
    </row>
    <row r="201" spans="1:22" ht="24.75" customHeight="1" x14ac:dyDescent="0.3">
      <c r="A201" s="3"/>
      <c r="B201" s="33"/>
      <c r="C201" s="3"/>
      <c r="D201" s="3"/>
      <c r="E201" s="3"/>
      <c r="F201" s="3"/>
      <c r="G201" s="3"/>
      <c r="H201" s="3"/>
      <c r="I201" s="3"/>
      <c r="J201" s="3"/>
      <c r="K201" s="3"/>
      <c r="L201" s="3"/>
      <c r="M201" s="3"/>
      <c r="N201" s="3"/>
      <c r="O201" s="3"/>
      <c r="P201" s="3"/>
      <c r="Q201" s="3"/>
      <c r="R201" s="3"/>
      <c r="S201" s="3"/>
      <c r="T201" s="3"/>
      <c r="U201" s="3"/>
      <c r="V201" s="3"/>
    </row>
    <row r="202" spans="1:22" ht="24.75" customHeight="1" x14ac:dyDescent="0.3">
      <c r="A202" s="3"/>
      <c r="B202" s="33"/>
      <c r="C202" s="3"/>
      <c r="D202" s="3"/>
      <c r="E202" s="3"/>
      <c r="F202" s="3"/>
      <c r="G202" s="3"/>
      <c r="H202" s="3"/>
      <c r="I202" s="3"/>
      <c r="J202" s="3"/>
      <c r="K202" s="3"/>
      <c r="L202" s="3"/>
      <c r="M202" s="3"/>
      <c r="N202" s="3"/>
      <c r="O202" s="3"/>
      <c r="P202" s="3"/>
      <c r="Q202" s="3"/>
      <c r="R202" s="3"/>
      <c r="S202" s="3"/>
      <c r="T202" s="3"/>
      <c r="U202" s="3"/>
      <c r="V202" s="3"/>
    </row>
    <row r="203" spans="1:22" ht="24.75" customHeight="1" x14ac:dyDescent="0.3">
      <c r="A203" s="3"/>
      <c r="B203" s="33"/>
      <c r="C203" s="3"/>
      <c r="D203" s="3"/>
      <c r="E203" s="3"/>
      <c r="F203" s="3"/>
      <c r="G203" s="3"/>
      <c r="H203" s="3"/>
      <c r="I203" s="3"/>
      <c r="J203" s="3"/>
      <c r="K203" s="3"/>
      <c r="L203" s="3"/>
      <c r="M203" s="3"/>
      <c r="N203" s="3"/>
      <c r="O203" s="3"/>
      <c r="P203" s="3"/>
      <c r="Q203" s="3"/>
      <c r="R203" s="3"/>
      <c r="S203" s="3"/>
      <c r="T203" s="3"/>
      <c r="U203" s="3"/>
      <c r="V203" s="3"/>
    </row>
    <row r="204" spans="1:22" ht="24.75" customHeight="1" x14ac:dyDescent="0.3">
      <c r="A204" s="3"/>
      <c r="B204" s="33"/>
      <c r="C204" s="3"/>
      <c r="D204" s="3"/>
      <c r="E204" s="3"/>
      <c r="F204" s="3"/>
      <c r="G204" s="3"/>
      <c r="H204" s="3"/>
      <c r="I204" s="3"/>
      <c r="J204" s="3"/>
      <c r="K204" s="3"/>
      <c r="L204" s="3"/>
      <c r="M204" s="3"/>
      <c r="N204" s="3"/>
      <c r="O204" s="3"/>
      <c r="P204" s="3"/>
      <c r="Q204" s="3"/>
      <c r="R204" s="3"/>
      <c r="S204" s="3"/>
      <c r="T204" s="3"/>
      <c r="U204" s="3"/>
      <c r="V204" s="3"/>
    </row>
    <row r="205" spans="1:22" ht="24.75" customHeight="1" x14ac:dyDescent="0.3">
      <c r="A205" s="3"/>
      <c r="B205" s="33"/>
      <c r="C205" s="3"/>
      <c r="D205" s="3"/>
      <c r="E205" s="3"/>
      <c r="F205" s="3"/>
      <c r="G205" s="3"/>
      <c r="H205" s="3"/>
      <c r="I205" s="3"/>
      <c r="J205" s="3"/>
      <c r="K205" s="3"/>
      <c r="L205" s="3"/>
      <c r="M205" s="3"/>
      <c r="N205" s="3"/>
      <c r="O205" s="3"/>
      <c r="P205" s="3"/>
      <c r="Q205" s="3"/>
      <c r="R205" s="3"/>
      <c r="S205" s="3"/>
      <c r="T205" s="3"/>
      <c r="U205" s="3"/>
      <c r="V205" s="3"/>
    </row>
    <row r="206" spans="1:22" ht="24.75" customHeight="1" x14ac:dyDescent="0.3">
      <c r="A206" s="3"/>
      <c r="B206" s="33"/>
      <c r="C206" s="3"/>
      <c r="D206" s="3"/>
      <c r="E206" s="3"/>
      <c r="F206" s="3"/>
      <c r="G206" s="3"/>
      <c r="H206" s="3"/>
      <c r="I206" s="3"/>
      <c r="J206" s="3"/>
      <c r="K206" s="3"/>
      <c r="L206" s="3"/>
      <c r="M206" s="3"/>
      <c r="N206" s="3"/>
      <c r="O206" s="3"/>
      <c r="P206" s="3"/>
      <c r="Q206" s="3"/>
      <c r="R206" s="3"/>
      <c r="S206" s="3"/>
      <c r="T206" s="3"/>
      <c r="U206" s="3"/>
      <c r="V206" s="3"/>
    </row>
    <row r="207" spans="1:22" ht="24.75" customHeight="1" x14ac:dyDescent="0.3">
      <c r="A207" s="3"/>
      <c r="B207" s="33"/>
      <c r="C207" s="3"/>
      <c r="D207" s="3"/>
      <c r="E207" s="3"/>
      <c r="F207" s="3"/>
      <c r="G207" s="3"/>
      <c r="H207" s="3"/>
      <c r="I207" s="3"/>
      <c r="J207" s="3"/>
      <c r="K207" s="3"/>
      <c r="L207" s="3"/>
      <c r="M207" s="3"/>
      <c r="N207" s="3"/>
      <c r="O207" s="3"/>
      <c r="P207" s="3"/>
      <c r="Q207" s="3"/>
      <c r="R207" s="3"/>
      <c r="S207" s="3"/>
      <c r="T207" s="3"/>
      <c r="U207" s="3"/>
      <c r="V207" s="3"/>
    </row>
    <row r="208" spans="1:22" ht="24.75" customHeight="1" x14ac:dyDescent="0.3">
      <c r="A208" s="3"/>
      <c r="B208" s="33"/>
      <c r="C208" s="3"/>
      <c r="D208" s="3"/>
      <c r="E208" s="3"/>
      <c r="F208" s="3"/>
      <c r="G208" s="3"/>
      <c r="H208" s="3"/>
      <c r="I208" s="3"/>
      <c r="J208" s="3"/>
      <c r="K208" s="3"/>
      <c r="L208" s="3"/>
      <c r="M208" s="3"/>
      <c r="N208" s="3"/>
      <c r="O208" s="3"/>
      <c r="P208" s="3"/>
      <c r="Q208" s="3"/>
      <c r="R208" s="3"/>
      <c r="S208" s="3"/>
      <c r="T208" s="3"/>
      <c r="U208" s="3"/>
      <c r="V208" s="3"/>
    </row>
    <row r="209" spans="1:22" ht="24.75" customHeight="1" x14ac:dyDescent="0.3">
      <c r="A209" s="3"/>
      <c r="B209" s="33"/>
      <c r="C209" s="3"/>
      <c r="D209" s="3"/>
      <c r="E209" s="3"/>
      <c r="F209" s="3"/>
      <c r="G209" s="3"/>
      <c r="H209" s="3"/>
      <c r="I209" s="3"/>
      <c r="J209" s="3"/>
      <c r="K209" s="3"/>
      <c r="L209" s="3"/>
      <c r="M209" s="3"/>
      <c r="N209" s="3"/>
      <c r="O209" s="3"/>
      <c r="P209" s="3"/>
      <c r="Q209" s="3"/>
      <c r="R209" s="3"/>
      <c r="S209" s="3"/>
      <c r="T209" s="3"/>
      <c r="U209" s="3"/>
      <c r="V209" s="3"/>
    </row>
    <row r="210" spans="1:22" ht="24.75" customHeight="1" x14ac:dyDescent="0.3">
      <c r="A210" s="3"/>
      <c r="B210" s="33"/>
      <c r="C210" s="3"/>
      <c r="D210" s="3"/>
      <c r="E210" s="3"/>
      <c r="F210" s="3"/>
      <c r="G210" s="3"/>
      <c r="H210" s="3"/>
      <c r="I210" s="3"/>
      <c r="J210" s="3"/>
      <c r="K210" s="3"/>
      <c r="L210" s="3"/>
      <c r="M210" s="3"/>
      <c r="N210" s="3"/>
      <c r="O210" s="3"/>
      <c r="P210" s="3"/>
      <c r="Q210" s="3"/>
      <c r="R210" s="3"/>
      <c r="S210" s="3"/>
      <c r="T210" s="3"/>
      <c r="U210" s="3"/>
      <c r="V210" s="3"/>
    </row>
    <row r="211" spans="1:22" ht="24.75" customHeight="1" x14ac:dyDescent="0.3">
      <c r="A211" s="3"/>
      <c r="B211" s="33"/>
      <c r="C211" s="3"/>
      <c r="D211" s="3"/>
      <c r="E211" s="3"/>
      <c r="F211" s="3"/>
      <c r="G211" s="3"/>
      <c r="H211" s="3"/>
      <c r="I211" s="3"/>
      <c r="J211" s="3"/>
      <c r="K211" s="3"/>
      <c r="L211" s="3"/>
      <c r="M211" s="3"/>
      <c r="N211" s="3"/>
      <c r="O211" s="3"/>
      <c r="P211" s="3"/>
      <c r="Q211" s="3"/>
      <c r="R211" s="3"/>
      <c r="S211" s="3"/>
      <c r="T211" s="3"/>
      <c r="U211" s="3"/>
      <c r="V211" s="3"/>
    </row>
    <row r="212" spans="1:22" ht="24.75" customHeight="1" x14ac:dyDescent="0.3">
      <c r="A212" s="3"/>
      <c r="B212" s="33"/>
      <c r="C212" s="3"/>
      <c r="D212" s="3"/>
      <c r="E212" s="3"/>
      <c r="F212" s="3"/>
      <c r="G212" s="3"/>
      <c r="H212" s="3"/>
      <c r="I212" s="3"/>
      <c r="J212" s="3"/>
      <c r="K212" s="3"/>
      <c r="L212" s="3"/>
      <c r="M212" s="3"/>
      <c r="N212" s="3"/>
      <c r="O212" s="3"/>
      <c r="P212" s="3"/>
      <c r="Q212" s="3"/>
      <c r="R212" s="3"/>
      <c r="S212" s="3"/>
      <c r="T212" s="3"/>
      <c r="U212" s="3"/>
      <c r="V212" s="3"/>
    </row>
    <row r="213" spans="1:22" ht="24.75" customHeight="1" x14ac:dyDescent="0.3">
      <c r="A213" s="3"/>
      <c r="B213" s="33"/>
      <c r="C213" s="3"/>
      <c r="D213" s="3"/>
      <c r="E213" s="3"/>
      <c r="F213" s="3"/>
      <c r="G213" s="3"/>
      <c r="H213" s="3"/>
      <c r="I213" s="3"/>
      <c r="J213" s="3"/>
      <c r="K213" s="3"/>
      <c r="L213" s="3"/>
      <c r="M213" s="3"/>
      <c r="N213" s="3"/>
      <c r="O213" s="3"/>
      <c r="P213" s="3"/>
      <c r="Q213" s="3"/>
      <c r="R213" s="3"/>
      <c r="S213" s="3"/>
      <c r="T213" s="3"/>
      <c r="U213" s="3"/>
      <c r="V213" s="3"/>
    </row>
    <row r="214" spans="1:22" ht="24.75" customHeight="1" x14ac:dyDescent="0.3">
      <c r="A214" s="3"/>
      <c r="B214" s="33"/>
      <c r="C214" s="3"/>
      <c r="D214" s="3"/>
      <c r="E214" s="3"/>
      <c r="F214" s="3"/>
      <c r="G214" s="3"/>
      <c r="H214" s="3"/>
      <c r="I214" s="3"/>
      <c r="J214" s="3"/>
      <c r="K214" s="3"/>
      <c r="L214" s="3"/>
      <c r="M214" s="3"/>
      <c r="N214" s="3"/>
      <c r="O214" s="3"/>
      <c r="P214" s="3"/>
      <c r="Q214" s="3"/>
      <c r="R214" s="3"/>
      <c r="S214" s="3"/>
      <c r="T214" s="3"/>
      <c r="U214" s="3"/>
      <c r="V214" s="3"/>
    </row>
    <row r="215" spans="1:22" ht="24.75" customHeight="1" x14ac:dyDescent="0.3">
      <c r="A215" s="3"/>
      <c r="B215" s="33"/>
      <c r="C215" s="3"/>
      <c r="D215" s="3"/>
      <c r="E215" s="3"/>
      <c r="F215" s="3"/>
      <c r="G215" s="3"/>
      <c r="H215" s="3"/>
      <c r="I215" s="3"/>
      <c r="J215" s="3"/>
      <c r="K215" s="3"/>
      <c r="L215" s="3"/>
      <c r="M215" s="3"/>
      <c r="N215" s="3"/>
      <c r="O215" s="3"/>
      <c r="P215" s="3"/>
      <c r="Q215" s="3"/>
      <c r="R215" s="3"/>
      <c r="S215" s="3"/>
      <c r="T215" s="3"/>
      <c r="U215" s="3"/>
      <c r="V215" s="3"/>
    </row>
    <row r="216" spans="1:22" ht="24.75" customHeight="1" x14ac:dyDescent="0.3">
      <c r="A216" s="3"/>
      <c r="B216" s="33"/>
      <c r="C216" s="3"/>
      <c r="D216" s="3"/>
      <c r="E216" s="3"/>
      <c r="F216" s="3"/>
      <c r="G216" s="3"/>
      <c r="H216" s="3"/>
      <c r="I216" s="3"/>
      <c r="J216" s="3"/>
      <c r="K216" s="3"/>
      <c r="L216" s="3"/>
      <c r="M216" s="3"/>
      <c r="N216" s="3"/>
      <c r="O216" s="3"/>
      <c r="P216" s="3"/>
      <c r="Q216" s="3"/>
      <c r="R216" s="3"/>
      <c r="S216" s="3"/>
      <c r="T216" s="3"/>
      <c r="U216" s="3"/>
      <c r="V216" s="3"/>
    </row>
    <row r="217" spans="1:22" ht="24.75" customHeight="1" x14ac:dyDescent="0.3">
      <c r="A217" s="3"/>
      <c r="B217" s="33"/>
      <c r="C217" s="3"/>
      <c r="D217" s="3"/>
      <c r="E217" s="3"/>
      <c r="F217" s="3"/>
      <c r="G217" s="3"/>
      <c r="H217" s="3"/>
      <c r="I217" s="3"/>
      <c r="J217" s="3"/>
      <c r="K217" s="3"/>
      <c r="L217" s="3"/>
      <c r="M217" s="3"/>
      <c r="N217" s="3"/>
      <c r="O217" s="3"/>
      <c r="P217" s="3"/>
      <c r="Q217" s="3"/>
      <c r="R217" s="3"/>
      <c r="S217" s="3"/>
      <c r="T217" s="3"/>
      <c r="U217" s="3"/>
      <c r="V217" s="3"/>
    </row>
    <row r="218" spans="1:22" ht="24.75" customHeight="1" x14ac:dyDescent="0.3">
      <c r="A218" s="3"/>
      <c r="B218" s="33"/>
      <c r="C218" s="3"/>
      <c r="D218" s="3"/>
      <c r="E218" s="3"/>
      <c r="F218" s="3"/>
      <c r="G218" s="3"/>
      <c r="H218" s="3"/>
      <c r="I218" s="3"/>
      <c r="J218" s="3"/>
      <c r="K218" s="3"/>
      <c r="L218" s="3"/>
      <c r="M218" s="3"/>
      <c r="N218" s="3"/>
      <c r="O218" s="3"/>
      <c r="P218" s="3"/>
      <c r="Q218" s="3"/>
      <c r="R218" s="3"/>
      <c r="S218" s="3"/>
      <c r="T218" s="3"/>
      <c r="U218" s="3"/>
      <c r="V218" s="3"/>
    </row>
    <row r="219" spans="1:22" ht="24.75" customHeight="1" x14ac:dyDescent="0.3">
      <c r="B219" s="34"/>
      <c r="D219" s="3"/>
      <c r="E219" s="3"/>
      <c r="F219" s="3"/>
      <c r="G219" s="3"/>
      <c r="H219" s="3"/>
      <c r="I219" s="3"/>
      <c r="J219" s="3"/>
      <c r="K219" s="3"/>
      <c r="L219" s="3"/>
      <c r="M219" s="3"/>
      <c r="N219" s="3"/>
      <c r="O219" s="3"/>
      <c r="P219" s="3"/>
      <c r="Q219" s="3"/>
      <c r="R219" s="3"/>
      <c r="S219" s="3"/>
      <c r="T219" s="3"/>
      <c r="U219" s="3"/>
      <c r="V219" s="3"/>
    </row>
    <row r="220" spans="1:22" ht="24.75" customHeight="1" x14ac:dyDescent="0.3">
      <c r="B220" s="34"/>
      <c r="D220" s="3"/>
      <c r="E220" s="3"/>
      <c r="F220" s="3"/>
      <c r="G220" s="3"/>
      <c r="H220" s="3"/>
      <c r="I220" s="3"/>
      <c r="J220" s="3"/>
      <c r="K220" s="3"/>
      <c r="L220" s="3"/>
      <c r="M220" s="3"/>
      <c r="N220" s="3"/>
      <c r="O220" s="3"/>
      <c r="P220" s="3"/>
      <c r="Q220" s="3"/>
      <c r="R220" s="3"/>
      <c r="S220" s="3"/>
      <c r="T220" s="3"/>
      <c r="U220" s="3"/>
      <c r="V220" s="3"/>
    </row>
    <row r="221" spans="1:22" ht="24.75" customHeight="1" x14ac:dyDescent="0.3">
      <c r="B221" s="34"/>
      <c r="D221" s="3"/>
      <c r="E221" s="3"/>
      <c r="F221" s="3"/>
      <c r="G221" s="3"/>
      <c r="H221" s="3"/>
      <c r="I221" s="3"/>
      <c r="J221" s="3"/>
      <c r="K221" s="3"/>
      <c r="L221" s="3"/>
      <c r="M221" s="3"/>
      <c r="N221" s="3"/>
      <c r="O221" s="3"/>
      <c r="P221" s="3"/>
      <c r="Q221" s="3"/>
      <c r="R221" s="3"/>
      <c r="S221" s="3"/>
      <c r="T221" s="3"/>
      <c r="U221" s="3"/>
      <c r="V221" s="3"/>
    </row>
    <row r="222" spans="1:22" ht="15.75" customHeight="1" x14ac:dyDescent="0.3">
      <c r="B222" s="34"/>
    </row>
    <row r="223" spans="1:22" ht="15.75" customHeight="1" x14ac:dyDescent="0.3">
      <c r="B223" s="34"/>
    </row>
    <row r="224" spans="1:22" ht="15.75" customHeight="1" x14ac:dyDescent="0.3">
      <c r="B224" s="34"/>
    </row>
    <row r="225" spans="2:2" ht="15.75" customHeight="1" x14ac:dyDescent="0.3">
      <c r="B225" s="34"/>
    </row>
    <row r="226" spans="2:2" ht="15.75" customHeight="1" x14ac:dyDescent="0.3">
      <c r="B226" s="34"/>
    </row>
    <row r="227" spans="2:2" ht="15.75" customHeight="1" x14ac:dyDescent="0.3">
      <c r="B227" s="34"/>
    </row>
    <row r="228" spans="2:2" ht="15.75" customHeight="1" x14ac:dyDescent="0.3">
      <c r="B228" s="34"/>
    </row>
    <row r="229" spans="2:2" ht="15.75" customHeight="1" x14ac:dyDescent="0.3">
      <c r="B229" s="34"/>
    </row>
    <row r="230" spans="2:2" ht="15.75" customHeight="1" x14ac:dyDescent="0.3">
      <c r="B230" s="34"/>
    </row>
    <row r="231" spans="2:2" ht="15.75" customHeight="1" x14ac:dyDescent="0.3">
      <c r="B231" s="34"/>
    </row>
    <row r="232" spans="2:2" ht="15.75" customHeight="1" x14ac:dyDescent="0.3">
      <c r="B232" s="34"/>
    </row>
    <row r="233" spans="2:2" ht="15.75" customHeight="1" x14ac:dyDescent="0.3">
      <c r="B233" s="34"/>
    </row>
    <row r="234" spans="2:2" ht="15.75" customHeight="1" x14ac:dyDescent="0.3">
      <c r="B234" s="34"/>
    </row>
    <row r="235" spans="2:2" ht="15.75" customHeight="1" x14ac:dyDescent="0.3">
      <c r="B235" s="34"/>
    </row>
    <row r="236" spans="2:2" ht="15.75" customHeight="1" x14ac:dyDescent="0.3">
      <c r="B236" s="34"/>
    </row>
    <row r="237" spans="2:2" ht="15.75" customHeight="1" x14ac:dyDescent="0.3">
      <c r="B237" s="34"/>
    </row>
    <row r="238" spans="2:2" ht="15.75" customHeight="1" x14ac:dyDescent="0.3">
      <c r="B238" s="34"/>
    </row>
    <row r="239" spans="2:2" ht="15.75" customHeight="1" x14ac:dyDescent="0.3">
      <c r="B239" s="34"/>
    </row>
    <row r="240" spans="2:2" ht="15.75" customHeight="1" x14ac:dyDescent="0.3">
      <c r="B240" s="34"/>
    </row>
    <row r="241" spans="2:2" ht="15.75" customHeight="1" x14ac:dyDescent="0.3">
      <c r="B241" s="34"/>
    </row>
    <row r="242" spans="2:2" ht="15.75" customHeight="1" x14ac:dyDescent="0.3">
      <c r="B242" s="34"/>
    </row>
    <row r="243" spans="2:2" ht="15.75" customHeight="1" x14ac:dyDescent="0.3">
      <c r="B243" s="34"/>
    </row>
    <row r="244" spans="2:2" ht="15.75" customHeight="1" x14ac:dyDescent="0.3">
      <c r="B244" s="34"/>
    </row>
    <row r="245" spans="2:2" ht="15.75" customHeight="1" x14ac:dyDescent="0.3">
      <c r="B245" s="34"/>
    </row>
    <row r="246" spans="2:2" ht="15.75" customHeight="1" x14ac:dyDescent="0.3">
      <c r="B246" s="34"/>
    </row>
    <row r="247" spans="2:2" ht="15.75" customHeight="1" x14ac:dyDescent="0.3">
      <c r="B247" s="34"/>
    </row>
    <row r="248" spans="2:2" ht="15.75" customHeight="1" x14ac:dyDescent="0.3">
      <c r="B248" s="34"/>
    </row>
    <row r="249" spans="2:2" ht="15.75" customHeight="1" x14ac:dyDescent="0.3">
      <c r="B249" s="34"/>
    </row>
    <row r="250" spans="2:2" ht="15.75" customHeight="1" x14ac:dyDescent="0.3">
      <c r="B250" s="34"/>
    </row>
    <row r="251" spans="2:2" ht="15.75" customHeight="1" x14ac:dyDescent="0.3">
      <c r="B251" s="34"/>
    </row>
    <row r="252" spans="2:2" ht="15.75" customHeight="1" x14ac:dyDescent="0.3">
      <c r="B252" s="34"/>
    </row>
    <row r="253" spans="2:2" ht="15.75" customHeight="1" x14ac:dyDescent="0.3">
      <c r="B253" s="34"/>
    </row>
    <row r="254" spans="2:2" ht="15.75" customHeight="1" x14ac:dyDescent="0.3">
      <c r="B254" s="34"/>
    </row>
    <row r="255" spans="2:2" ht="15.75" customHeight="1" x14ac:dyDescent="0.3">
      <c r="B255" s="34"/>
    </row>
    <row r="256" spans="2:2" ht="15.75" customHeight="1" x14ac:dyDescent="0.3">
      <c r="B256" s="34"/>
    </row>
    <row r="257" spans="2:2" ht="15.75" customHeight="1" x14ac:dyDescent="0.3">
      <c r="B257" s="34"/>
    </row>
    <row r="258" spans="2:2" ht="15.75" customHeight="1" x14ac:dyDescent="0.3">
      <c r="B258" s="34"/>
    </row>
    <row r="259" spans="2:2" ht="15.75" customHeight="1" x14ac:dyDescent="0.3">
      <c r="B259" s="34"/>
    </row>
    <row r="260" spans="2:2" ht="15.75" customHeight="1" x14ac:dyDescent="0.3">
      <c r="B260" s="34"/>
    </row>
    <row r="261" spans="2:2" ht="15.75" customHeight="1" x14ac:dyDescent="0.3">
      <c r="B261" s="34"/>
    </row>
    <row r="262" spans="2:2" ht="15.75" customHeight="1" x14ac:dyDescent="0.3">
      <c r="B262" s="34"/>
    </row>
    <row r="263" spans="2:2" ht="15.75" customHeight="1" x14ac:dyDescent="0.3">
      <c r="B263" s="34"/>
    </row>
    <row r="264" spans="2:2" ht="15.75" customHeight="1" x14ac:dyDescent="0.3">
      <c r="B264" s="34"/>
    </row>
    <row r="265" spans="2:2" ht="15.75" customHeight="1" x14ac:dyDescent="0.3">
      <c r="B265" s="34"/>
    </row>
    <row r="266" spans="2:2" ht="15.75" customHeight="1" x14ac:dyDescent="0.3">
      <c r="B266" s="34"/>
    </row>
    <row r="267" spans="2:2" ht="15.75" customHeight="1" x14ac:dyDescent="0.3">
      <c r="B267" s="34"/>
    </row>
    <row r="268" spans="2:2" ht="15.75" customHeight="1" x14ac:dyDescent="0.3">
      <c r="B268" s="34"/>
    </row>
    <row r="269" spans="2:2" ht="15.75" customHeight="1" x14ac:dyDescent="0.3">
      <c r="B269" s="34"/>
    </row>
    <row r="270" spans="2:2" ht="15.75" customHeight="1" x14ac:dyDescent="0.3">
      <c r="B270" s="34"/>
    </row>
    <row r="271" spans="2:2" ht="15.75" customHeight="1" x14ac:dyDescent="0.3">
      <c r="B271" s="34"/>
    </row>
    <row r="272" spans="2:2" ht="15.75" customHeight="1" x14ac:dyDescent="0.3">
      <c r="B272" s="34"/>
    </row>
    <row r="273" spans="2:2" ht="15.75" customHeight="1" x14ac:dyDescent="0.3">
      <c r="B273" s="34"/>
    </row>
    <row r="274" spans="2:2" ht="15.75" customHeight="1" x14ac:dyDescent="0.3">
      <c r="B274" s="34"/>
    </row>
    <row r="275" spans="2:2" ht="15.75" customHeight="1" x14ac:dyDescent="0.3">
      <c r="B275" s="34"/>
    </row>
    <row r="276" spans="2:2" ht="15.75" customHeight="1" x14ac:dyDescent="0.3">
      <c r="B276" s="34"/>
    </row>
    <row r="277" spans="2:2" ht="15.75" customHeight="1" x14ac:dyDescent="0.3">
      <c r="B277" s="34"/>
    </row>
    <row r="278" spans="2:2" ht="15.75" customHeight="1" x14ac:dyDescent="0.3">
      <c r="B278" s="34"/>
    </row>
    <row r="279" spans="2:2" ht="15.75" customHeight="1" x14ac:dyDescent="0.3">
      <c r="B279" s="34"/>
    </row>
    <row r="280" spans="2:2" ht="15.75" customHeight="1" x14ac:dyDescent="0.3">
      <c r="B280" s="34"/>
    </row>
    <row r="281" spans="2:2" ht="15.75" customHeight="1" x14ac:dyDescent="0.3">
      <c r="B281" s="34"/>
    </row>
    <row r="282" spans="2:2" ht="15.75" customHeight="1" x14ac:dyDescent="0.3">
      <c r="B282" s="34"/>
    </row>
    <row r="283" spans="2:2" ht="15.75" customHeight="1" x14ac:dyDescent="0.3">
      <c r="B283" s="34"/>
    </row>
    <row r="284" spans="2:2" ht="15.75" customHeight="1" x14ac:dyDescent="0.3">
      <c r="B284" s="34"/>
    </row>
    <row r="285" spans="2:2" ht="15.75" customHeight="1" x14ac:dyDescent="0.3">
      <c r="B285" s="34"/>
    </row>
    <row r="286" spans="2:2" ht="15.75" customHeight="1" x14ac:dyDescent="0.3">
      <c r="B286" s="34"/>
    </row>
    <row r="287" spans="2:2" ht="15.75" customHeight="1" x14ac:dyDescent="0.3">
      <c r="B287" s="34"/>
    </row>
    <row r="288" spans="2:2" ht="15.75" customHeight="1" x14ac:dyDescent="0.3">
      <c r="B288" s="34"/>
    </row>
    <row r="289" spans="2:2" ht="15.75" customHeight="1" x14ac:dyDescent="0.3">
      <c r="B289" s="34"/>
    </row>
    <row r="290" spans="2:2" ht="15.75" customHeight="1" x14ac:dyDescent="0.3">
      <c r="B290" s="34"/>
    </row>
    <row r="291" spans="2:2" ht="15.75" customHeight="1" x14ac:dyDescent="0.3">
      <c r="B291" s="34"/>
    </row>
    <row r="292" spans="2:2" ht="15.75" customHeight="1" x14ac:dyDescent="0.3">
      <c r="B292" s="34"/>
    </row>
    <row r="293" spans="2:2" ht="15.75" customHeight="1" x14ac:dyDescent="0.3">
      <c r="B293" s="34"/>
    </row>
    <row r="294" spans="2:2" ht="15.75" customHeight="1" x14ac:dyDescent="0.3">
      <c r="B294" s="34"/>
    </row>
    <row r="295" spans="2:2" ht="15.75" customHeight="1" x14ac:dyDescent="0.3">
      <c r="B295" s="34"/>
    </row>
    <row r="296" spans="2:2" ht="15.75" customHeight="1" x14ac:dyDescent="0.3">
      <c r="B296" s="34"/>
    </row>
    <row r="297" spans="2:2" ht="15.75" customHeight="1" x14ac:dyDescent="0.3">
      <c r="B297" s="34"/>
    </row>
    <row r="298" spans="2:2" ht="15.75" customHeight="1" x14ac:dyDescent="0.3">
      <c r="B298" s="34"/>
    </row>
    <row r="299" spans="2:2" ht="15.75" customHeight="1" x14ac:dyDescent="0.3">
      <c r="B299" s="34"/>
    </row>
    <row r="300" spans="2:2" ht="15.75" customHeight="1" x14ac:dyDescent="0.3">
      <c r="B300" s="34"/>
    </row>
    <row r="301" spans="2:2" ht="15.75" customHeight="1" x14ac:dyDescent="0.3">
      <c r="B301" s="34"/>
    </row>
    <row r="302" spans="2:2" ht="15.75" customHeight="1" x14ac:dyDescent="0.3">
      <c r="B302" s="34"/>
    </row>
    <row r="303" spans="2:2" ht="15.75" customHeight="1" x14ac:dyDescent="0.3">
      <c r="B303" s="34"/>
    </row>
    <row r="304" spans="2:2" ht="15.75" customHeight="1" x14ac:dyDescent="0.3">
      <c r="B304" s="34"/>
    </row>
    <row r="305" spans="2:2" ht="15.75" customHeight="1" x14ac:dyDescent="0.3">
      <c r="B305" s="34"/>
    </row>
    <row r="306" spans="2:2" ht="15.75" customHeight="1" x14ac:dyDescent="0.3">
      <c r="B306" s="34"/>
    </row>
    <row r="307" spans="2:2" ht="15.75" customHeight="1" x14ac:dyDescent="0.3">
      <c r="B307" s="34"/>
    </row>
    <row r="308" spans="2:2" ht="15.75" customHeight="1" x14ac:dyDescent="0.3">
      <c r="B308" s="34"/>
    </row>
    <row r="309" spans="2:2" ht="15.75" customHeight="1" x14ac:dyDescent="0.3">
      <c r="B309" s="34"/>
    </row>
    <row r="310" spans="2:2" ht="15.75" customHeight="1" x14ac:dyDescent="0.3">
      <c r="B310" s="34"/>
    </row>
    <row r="311" spans="2:2" ht="15.75" customHeight="1" x14ac:dyDescent="0.3">
      <c r="B311" s="34"/>
    </row>
    <row r="312" spans="2:2" ht="15.75" customHeight="1" x14ac:dyDescent="0.3">
      <c r="B312" s="34"/>
    </row>
    <row r="313" spans="2:2" ht="15.75" customHeight="1" x14ac:dyDescent="0.3">
      <c r="B313" s="34"/>
    </row>
    <row r="314" spans="2:2" ht="15.75" customHeight="1" x14ac:dyDescent="0.3">
      <c r="B314" s="34"/>
    </row>
    <row r="315" spans="2:2" ht="15.75" customHeight="1" x14ac:dyDescent="0.3">
      <c r="B315" s="34"/>
    </row>
    <row r="316" spans="2:2" ht="15.75" customHeight="1" x14ac:dyDescent="0.3">
      <c r="B316" s="34"/>
    </row>
    <row r="317" spans="2:2" ht="15.75" customHeight="1" x14ac:dyDescent="0.3">
      <c r="B317" s="34"/>
    </row>
    <row r="318" spans="2:2" ht="15.75" customHeight="1" x14ac:dyDescent="0.3">
      <c r="B318" s="34"/>
    </row>
    <row r="319" spans="2:2" ht="15.75" customHeight="1" x14ac:dyDescent="0.3">
      <c r="B319" s="34"/>
    </row>
    <row r="320" spans="2:2" ht="15.75" customHeight="1" x14ac:dyDescent="0.3">
      <c r="B320" s="34"/>
    </row>
    <row r="321" spans="2:2" ht="15.75" customHeight="1" x14ac:dyDescent="0.3">
      <c r="B321" s="34"/>
    </row>
    <row r="322" spans="2:2" ht="15.75" customHeight="1" x14ac:dyDescent="0.3">
      <c r="B322" s="34"/>
    </row>
    <row r="323" spans="2:2" ht="15.75" customHeight="1" x14ac:dyDescent="0.3">
      <c r="B323" s="34"/>
    </row>
    <row r="324" spans="2:2" ht="15.75" customHeight="1" x14ac:dyDescent="0.3">
      <c r="B324" s="34"/>
    </row>
    <row r="325" spans="2:2" ht="15.75" customHeight="1" x14ac:dyDescent="0.3">
      <c r="B325" s="34"/>
    </row>
    <row r="326" spans="2:2" ht="15.75" customHeight="1" x14ac:dyDescent="0.3">
      <c r="B326" s="34"/>
    </row>
    <row r="327" spans="2:2" ht="15.75" customHeight="1" x14ac:dyDescent="0.3">
      <c r="B327" s="34"/>
    </row>
    <row r="328" spans="2:2" ht="15.75" customHeight="1" x14ac:dyDescent="0.3">
      <c r="B328" s="34"/>
    </row>
    <row r="329" spans="2:2" ht="15.75" customHeight="1" x14ac:dyDescent="0.3">
      <c r="B329" s="34"/>
    </row>
    <row r="330" spans="2:2" ht="15.75" customHeight="1" x14ac:dyDescent="0.3">
      <c r="B330" s="34"/>
    </row>
    <row r="331" spans="2:2" ht="15.75" customHeight="1" x14ac:dyDescent="0.3">
      <c r="B331" s="34"/>
    </row>
    <row r="332" spans="2:2" ht="15.75" customHeight="1" x14ac:dyDescent="0.3">
      <c r="B332" s="34"/>
    </row>
    <row r="333" spans="2:2" ht="15.75" customHeight="1" x14ac:dyDescent="0.3">
      <c r="B333" s="34"/>
    </row>
    <row r="334" spans="2:2" ht="15.75" customHeight="1" x14ac:dyDescent="0.3">
      <c r="B334" s="34"/>
    </row>
    <row r="335" spans="2:2" ht="15.75" customHeight="1" x14ac:dyDescent="0.3">
      <c r="B335" s="34"/>
    </row>
    <row r="336" spans="2:2" ht="15.75" customHeight="1" x14ac:dyDescent="0.3">
      <c r="B336" s="34"/>
    </row>
    <row r="337" spans="2:2" ht="15.75" customHeight="1" x14ac:dyDescent="0.3">
      <c r="B337" s="34"/>
    </row>
    <row r="338" spans="2:2" ht="15.75" customHeight="1" x14ac:dyDescent="0.3">
      <c r="B338" s="34"/>
    </row>
    <row r="339" spans="2:2" ht="15.75" customHeight="1" x14ac:dyDescent="0.3">
      <c r="B339" s="34"/>
    </row>
    <row r="340" spans="2:2" ht="15.75" customHeight="1" x14ac:dyDescent="0.3">
      <c r="B340" s="34"/>
    </row>
    <row r="341" spans="2:2" ht="15.75" customHeight="1" x14ac:dyDescent="0.3">
      <c r="B341" s="34"/>
    </row>
    <row r="342" spans="2:2" ht="15.75" customHeight="1" x14ac:dyDescent="0.3">
      <c r="B342" s="34"/>
    </row>
    <row r="343" spans="2:2" ht="15.75" customHeight="1" x14ac:dyDescent="0.3">
      <c r="B343" s="34"/>
    </row>
    <row r="344" spans="2:2" ht="15.75" customHeight="1" x14ac:dyDescent="0.3">
      <c r="B344" s="34"/>
    </row>
    <row r="345" spans="2:2" ht="15.75" customHeight="1" x14ac:dyDescent="0.3">
      <c r="B345" s="34"/>
    </row>
    <row r="346" spans="2:2" ht="15.75" customHeight="1" x14ac:dyDescent="0.3">
      <c r="B346" s="34"/>
    </row>
    <row r="347" spans="2:2" ht="15.75" customHeight="1" x14ac:dyDescent="0.3">
      <c r="B347" s="34"/>
    </row>
    <row r="348" spans="2:2" ht="15.75" customHeight="1" x14ac:dyDescent="0.3">
      <c r="B348" s="34"/>
    </row>
    <row r="349" spans="2:2" ht="15.75" customHeight="1" x14ac:dyDescent="0.3">
      <c r="B349" s="34"/>
    </row>
    <row r="350" spans="2:2" ht="15.75" customHeight="1" x14ac:dyDescent="0.3">
      <c r="B350" s="34"/>
    </row>
    <row r="351" spans="2:2" ht="15.75" customHeight="1" x14ac:dyDescent="0.3">
      <c r="B351" s="34"/>
    </row>
    <row r="352" spans="2:2" ht="15.75" customHeight="1" x14ac:dyDescent="0.3">
      <c r="B352" s="34"/>
    </row>
    <row r="353" spans="2:2" ht="15.75" customHeight="1" x14ac:dyDescent="0.3">
      <c r="B353" s="34"/>
    </row>
    <row r="354" spans="2:2" ht="15.75" customHeight="1" x14ac:dyDescent="0.3">
      <c r="B354" s="34"/>
    </row>
    <row r="355" spans="2:2" ht="15.75" customHeight="1" x14ac:dyDescent="0.3">
      <c r="B355" s="34"/>
    </row>
    <row r="356" spans="2:2" ht="15.75" customHeight="1" x14ac:dyDescent="0.3">
      <c r="B356" s="34"/>
    </row>
    <row r="357" spans="2:2" ht="15.75" customHeight="1" x14ac:dyDescent="0.3">
      <c r="B357" s="34"/>
    </row>
    <row r="358" spans="2:2" ht="15.75" customHeight="1" x14ac:dyDescent="0.3">
      <c r="B358" s="34"/>
    </row>
    <row r="359" spans="2:2" ht="15.75" customHeight="1" x14ac:dyDescent="0.3">
      <c r="B359" s="34"/>
    </row>
    <row r="360" spans="2:2" ht="15.75" customHeight="1" x14ac:dyDescent="0.3">
      <c r="B360" s="34"/>
    </row>
    <row r="361" spans="2:2" ht="15.75" customHeight="1" x14ac:dyDescent="0.3">
      <c r="B361" s="34"/>
    </row>
    <row r="362" spans="2:2" ht="15.75" customHeight="1" x14ac:dyDescent="0.3">
      <c r="B362" s="34"/>
    </row>
    <row r="363" spans="2:2" ht="15.75" customHeight="1" x14ac:dyDescent="0.3">
      <c r="B363" s="34"/>
    </row>
    <row r="364" spans="2:2" ht="15.75" customHeight="1" x14ac:dyDescent="0.3">
      <c r="B364" s="34"/>
    </row>
    <row r="365" spans="2:2" ht="15.75" customHeight="1" x14ac:dyDescent="0.3">
      <c r="B365" s="34"/>
    </row>
    <row r="366" spans="2:2" ht="15.75" customHeight="1" x14ac:dyDescent="0.3">
      <c r="B366" s="34"/>
    </row>
    <row r="367" spans="2:2" ht="15.75" customHeight="1" x14ac:dyDescent="0.3">
      <c r="B367" s="34"/>
    </row>
    <row r="368" spans="2:2" ht="15.75" customHeight="1" x14ac:dyDescent="0.3">
      <c r="B368" s="34"/>
    </row>
    <row r="369" spans="2:2" ht="15.75" customHeight="1" x14ac:dyDescent="0.3">
      <c r="B369" s="34"/>
    </row>
    <row r="370" spans="2:2" ht="15.75" customHeight="1" x14ac:dyDescent="0.3">
      <c r="B370" s="34"/>
    </row>
    <row r="371" spans="2:2" ht="15.75" customHeight="1" x14ac:dyDescent="0.3">
      <c r="B371" s="34"/>
    </row>
    <row r="372" spans="2:2" ht="15.75" customHeight="1" x14ac:dyDescent="0.3">
      <c r="B372" s="34"/>
    </row>
    <row r="373" spans="2:2" ht="15.75" customHeight="1" x14ac:dyDescent="0.3">
      <c r="B373" s="34"/>
    </row>
    <row r="374" spans="2:2" ht="15.75" customHeight="1" x14ac:dyDescent="0.3">
      <c r="B374" s="34"/>
    </row>
    <row r="375" spans="2:2" ht="15.75" customHeight="1" x14ac:dyDescent="0.3">
      <c r="B375" s="34"/>
    </row>
    <row r="376" spans="2:2" ht="15.75" customHeight="1" x14ac:dyDescent="0.3">
      <c r="B376" s="34"/>
    </row>
    <row r="377" spans="2:2" ht="15.75" customHeight="1" x14ac:dyDescent="0.3">
      <c r="B377" s="34"/>
    </row>
    <row r="378" spans="2:2" ht="15.75" customHeight="1" x14ac:dyDescent="0.3">
      <c r="B378" s="34"/>
    </row>
    <row r="379" spans="2:2" ht="15.75" customHeight="1" x14ac:dyDescent="0.3">
      <c r="B379" s="34"/>
    </row>
    <row r="380" spans="2:2" ht="15.75" customHeight="1" x14ac:dyDescent="0.3">
      <c r="B380" s="34"/>
    </row>
    <row r="381" spans="2:2" ht="15.75" customHeight="1" x14ac:dyDescent="0.3">
      <c r="B381" s="34"/>
    </row>
    <row r="382" spans="2:2" ht="15.75" customHeight="1" x14ac:dyDescent="0.3">
      <c r="B382" s="34"/>
    </row>
    <row r="383" spans="2:2" ht="15.75" customHeight="1" x14ac:dyDescent="0.3">
      <c r="B383" s="34"/>
    </row>
    <row r="384" spans="2:2" ht="15.75" customHeight="1" x14ac:dyDescent="0.3">
      <c r="B384" s="34"/>
    </row>
    <row r="385" spans="2:2" ht="15.75" customHeight="1" x14ac:dyDescent="0.3">
      <c r="B385" s="34"/>
    </row>
    <row r="386" spans="2:2" ht="15.75" customHeight="1" x14ac:dyDescent="0.3">
      <c r="B386" s="34"/>
    </row>
    <row r="387" spans="2:2" ht="15.75" customHeight="1" x14ac:dyDescent="0.3">
      <c r="B387" s="34"/>
    </row>
    <row r="388" spans="2:2" ht="15.75" customHeight="1" x14ac:dyDescent="0.3">
      <c r="B388" s="34"/>
    </row>
    <row r="389" spans="2:2" ht="15.75" customHeight="1" x14ac:dyDescent="0.3">
      <c r="B389" s="34"/>
    </row>
    <row r="390" spans="2:2" ht="15.75" customHeight="1" x14ac:dyDescent="0.3">
      <c r="B390" s="34"/>
    </row>
    <row r="391" spans="2:2" ht="15.75" customHeight="1" x14ac:dyDescent="0.3">
      <c r="B391" s="34"/>
    </row>
    <row r="392" spans="2:2" ht="15.75" customHeight="1" x14ac:dyDescent="0.3">
      <c r="B392" s="34"/>
    </row>
    <row r="393" spans="2:2" ht="15.75" customHeight="1" x14ac:dyDescent="0.3">
      <c r="B393" s="34"/>
    </row>
    <row r="394" spans="2:2" ht="15.75" customHeight="1" x14ac:dyDescent="0.3">
      <c r="B394" s="34"/>
    </row>
    <row r="395" spans="2:2" ht="15.75" customHeight="1" x14ac:dyDescent="0.3">
      <c r="B395" s="34"/>
    </row>
    <row r="396" spans="2:2" ht="15.75" customHeight="1" x14ac:dyDescent="0.3">
      <c r="B396" s="34"/>
    </row>
    <row r="397" spans="2:2" ht="15.75" customHeight="1" x14ac:dyDescent="0.3">
      <c r="B397" s="34"/>
    </row>
    <row r="398" spans="2:2" ht="15.75" customHeight="1" x14ac:dyDescent="0.3">
      <c r="B398" s="34"/>
    </row>
    <row r="399" spans="2:2" ht="15.75" customHeight="1" x14ac:dyDescent="0.3">
      <c r="B399" s="34"/>
    </row>
    <row r="400" spans="2:2" ht="15.75" customHeight="1" x14ac:dyDescent="0.3">
      <c r="B400" s="34"/>
    </row>
    <row r="401" spans="2:2" ht="15.75" customHeight="1" x14ac:dyDescent="0.3">
      <c r="B401" s="34"/>
    </row>
    <row r="402" spans="2:2" ht="15.75" customHeight="1" x14ac:dyDescent="0.3">
      <c r="B402" s="34"/>
    </row>
    <row r="403" spans="2:2" ht="15.75" customHeight="1" x14ac:dyDescent="0.3">
      <c r="B403" s="34"/>
    </row>
    <row r="404" spans="2:2" ht="15.75" customHeight="1" x14ac:dyDescent="0.3">
      <c r="B404" s="34"/>
    </row>
    <row r="405" spans="2:2" ht="15.75" customHeight="1" x14ac:dyDescent="0.3">
      <c r="B405" s="34"/>
    </row>
    <row r="406" spans="2:2" ht="15.75" customHeight="1" x14ac:dyDescent="0.3">
      <c r="B406" s="34"/>
    </row>
    <row r="407" spans="2:2" ht="15.75" customHeight="1" x14ac:dyDescent="0.3">
      <c r="B407" s="34"/>
    </row>
    <row r="408" spans="2:2" ht="15.75" customHeight="1" x14ac:dyDescent="0.3">
      <c r="B408" s="34"/>
    </row>
    <row r="409" spans="2:2" ht="15.75" customHeight="1" x14ac:dyDescent="0.3">
      <c r="B409" s="34"/>
    </row>
    <row r="410" spans="2:2" ht="15.75" customHeight="1" x14ac:dyDescent="0.3">
      <c r="B410" s="34"/>
    </row>
    <row r="411" spans="2:2" ht="15.75" customHeight="1" x14ac:dyDescent="0.3">
      <c r="B411" s="34"/>
    </row>
    <row r="412" spans="2:2" ht="15.75" customHeight="1" x14ac:dyDescent="0.3">
      <c r="B412" s="34"/>
    </row>
    <row r="413" spans="2:2" ht="15.75" customHeight="1" x14ac:dyDescent="0.3">
      <c r="B413" s="34"/>
    </row>
    <row r="414" spans="2:2" ht="15.75" customHeight="1" x14ac:dyDescent="0.3">
      <c r="B414" s="34"/>
    </row>
    <row r="415" spans="2:2" ht="15.75" customHeight="1" x14ac:dyDescent="0.3">
      <c r="B415" s="34"/>
    </row>
    <row r="416" spans="2:2" ht="15.75" customHeight="1" x14ac:dyDescent="0.3">
      <c r="B416" s="34"/>
    </row>
    <row r="417" spans="2:2" ht="15.75" customHeight="1" x14ac:dyDescent="0.3">
      <c r="B417" s="34"/>
    </row>
    <row r="418" spans="2:2" ht="15.75" customHeight="1" x14ac:dyDescent="0.3">
      <c r="B418" s="34"/>
    </row>
    <row r="419" spans="2:2" ht="15.75" customHeight="1" x14ac:dyDescent="0.3">
      <c r="B419" s="34"/>
    </row>
    <row r="420" spans="2:2" ht="15.75" customHeight="1" x14ac:dyDescent="0.3">
      <c r="B420" s="34"/>
    </row>
    <row r="421" spans="2:2" ht="15.75" customHeight="1" x14ac:dyDescent="0.3">
      <c r="B421" s="34"/>
    </row>
    <row r="422" spans="2:2" ht="15.75" customHeight="1" x14ac:dyDescent="0.3">
      <c r="B422" s="34"/>
    </row>
    <row r="423" spans="2:2" ht="15.75" customHeight="1" x14ac:dyDescent="0.3">
      <c r="B423" s="34"/>
    </row>
    <row r="424" spans="2:2" ht="15.75" customHeight="1" x14ac:dyDescent="0.3">
      <c r="B424" s="34"/>
    </row>
    <row r="425" spans="2:2" ht="15.75" customHeight="1" x14ac:dyDescent="0.3">
      <c r="B425" s="34"/>
    </row>
    <row r="426" spans="2:2" ht="15.75" customHeight="1" x14ac:dyDescent="0.3">
      <c r="B426" s="34"/>
    </row>
    <row r="427" spans="2:2" ht="15.75" customHeight="1" x14ac:dyDescent="0.3">
      <c r="B427" s="34"/>
    </row>
    <row r="428" spans="2:2" ht="15.75" customHeight="1" x14ac:dyDescent="0.3">
      <c r="B428" s="34"/>
    </row>
    <row r="429" spans="2:2" ht="15.75" customHeight="1" x14ac:dyDescent="0.3">
      <c r="B429" s="34"/>
    </row>
    <row r="430" spans="2:2" ht="15.75" customHeight="1" x14ac:dyDescent="0.3">
      <c r="B430" s="34"/>
    </row>
    <row r="431" spans="2:2" ht="15.75" customHeight="1" x14ac:dyDescent="0.3">
      <c r="B431" s="34"/>
    </row>
    <row r="432" spans="2:2" ht="15.75" customHeight="1" x14ac:dyDescent="0.3">
      <c r="B432" s="34"/>
    </row>
    <row r="433" spans="2:2" ht="15.75" customHeight="1" x14ac:dyDescent="0.3">
      <c r="B433" s="34"/>
    </row>
    <row r="434" spans="2:2" ht="15.75" customHeight="1" x14ac:dyDescent="0.3">
      <c r="B434" s="34"/>
    </row>
    <row r="435" spans="2:2" ht="15.75" customHeight="1" x14ac:dyDescent="0.3">
      <c r="B435" s="34"/>
    </row>
    <row r="436" spans="2:2" ht="15.75" customHeight="1" x14ac:dyDescent="0.3">
      <c r="B436" s="34"/>
    </row>
    <row r="437" spans="2:2" ht="15.75" customHeight="1" x14ac:dyDescent="0.3">
      <c r="B437" s="34"/>
    </row>
    <row r="438" spans="2:2" ht="15.75" customHeight="1" x14ac:dyDescent="0.3">
      <c r="B438" s="34"/>
    </row>
    <row r="439" spans="2:2" ht="15.75" customHeight="1" x14ac:dyDescent="0.3">
      <c r="B439" s="34"/>
    </row>
    <row r="440" spans="2:2" ht="15.75" customHeight="1" x14ac:dyDescent="0.3">
      <c r="B440" s="34"/>
    </row>
    <row r="441" spans="2:2" ht="15.75" customHeight="1" x14ac:dyDescent="0.3">
      <c r="B441" s="34"/>
    </row>
    <row r="442" spans="2:2" ht="15.75" customHeight="1" x14ac:dyDescent="0.3">
      <c r="B442" s="34"/>
    </row>
    <row r="443" spans="2:2" ht="15.75" customHeight="1" x14ac:dyDescent="0.3">
      <c r="B443" s="34"/>
    </row>
    <row r="444" spans="2:2" ht="15.75" customHeight="1" x14ac:dyDescent="0.3">
      <c r="B444" s="34"/>
    </row>
    <row r="445" spans="2:2" ht="15.75" customHeight="1" x14ac:dyDescent="0.3">
      <c r="B445" s="34"/>
    </row>
    <row r="446" spans="2:2" ht="15.75" customHeight="1" x14ac:dyDescent="0.3">
      <c r="B446" s="34"/>
    </row>
    <row r="447" spans="2:2" ht="15.75" customHeight="1" x14ac:dyDescent="0.3">
      <c r="B447" s="34"/>
    </row>
    <row r="448" spans="2:2" ht="15.75" customHeight="1" x14ac:dyDescent="0.3">
      <c r="B448" s="34"/>
    </row>
    <row r="449" spans="2:2" ht="15.75" customHeight="1" x14ac:dyDescent="0.3">
      <c r="B449" s="34"/>
    </row>
    <row r="450" spans="2:2" ht="15.75" customHeight="1" x14ac:dyDescent="0.3">
      <c r="B450" s="34"/>
    </row>
    <row r="451" spans="2:2" ht="15.75" customHeight="1" x14ac:dyDescent="0.3">
      <c r="B451" s="34"/>
    </row>
    <row r="452" spans="2:2" ht="15.75" customHeight="1" x14ac:dyDescent="0.3">
      <c r="B452" s="34"/>
    </row>
    <row r="453" spans="2:2" ht="15.75" customHeight="1" x14ac:dyDescent="0.3">
      <c r="B453" s="34"/>
    </row>
    <row r="454" spans="2:2" ht="15.75" customHeight="1" x14ac:dyDescent="0.3">
      <c r="B454" s="34"/>
    </row>
    <row r="455" spans="2:2" ht="15.75" customHeight="1" x14ac:dyDescent="0.3">
      <c r="B455" s="34"/>
    </row>
    <row r="456" spans="2:2" ht="15.75" customHeight="1" x14ac:dyDescent="0.3">
      <c r="B456" s="34"/>
    </row>
    <row r="457" spans="2:2" ht="15.75" customHeight="1" x14ac:dyDescent="0.3">
      <c r="B457" s="34"/>
    </row>
    <row r="458" spans="2:2" ht="15.75" customHeight="1" x14ac:dyDescent="0.3">
      <c r="B458" s="34"/>
    </row>
    <row r="459" spans="2:2" ht="15.75" customHeight="1" x14ac:dyDescent="0.3">
      <c r="B459" s="34"/>
    </row>
    <row r="460" spans="2:2" ht="15.75" customHeight="1" x14ac:dyDescent="0.3">
      <c r="B460" s="34"/>
    </row>
    <row r="461" spans="2:2" ht="15.75" customHeight="1" x14ac:dyDescent="0.3">
      <c r="B461" s="34"/>
    </row>
    <row r="462" spans="2:2" ht="15.75" customHeight="1" x14ac:dyDescent="0.3">
      <c r="B462" s="34"/>
    </row>
    <row r="463" spans="2:2" ht="15.75" customHeight="1" x14ac:dyDescent="0.3">
      <c r="B463" s="34"/>
    </row>
    <row r="464" spans="2:2" ht="15.75" customHeight="1" x14ac:dyDescent="0.3">
      <c r="B464" s="34"/>
    </row>
    <row r="465" spans="2:2" ht="15.75" customHeight="1" x14ac:dyDescent="0.3">
      <c r="B465" s="34"/>
    </row>
    <row r="466" spans="2:2" ht="15.75" customHeight="1" x14ac:dyDescent="0.3">
      <c r="B466" s="34"/>
    </row>
    <row r="467" spans="2:2" ht="15.75" customHeight="1" x14ac:dyDescent="0.3">
      <c r="B467" s="34"/>
    </row>
    <row r="468" spans="2:2" ht="15.75" customHeight="1" x14ac:dyDescent="0.3">
      <c r="B468" s="34"/>
    </row>
    <row r="469" spans="2:2" ht="15.75" customHeight="1" x14ac:dyDescent="0.3">
      <c r="B469" s="34"/>
    </row>
    <row r="470" spans="2:2" ht="15.75" customHeight="1" x14ac:dyDescent="0.3">
      <c r="B470" s="34"/>
    </row>
    <row r="471" spans="2:2" ht="15.75" customHeight="1" x14ac:dyDescent="0.3">
      <c r="B471" s="34"/>
    </row>
    <row r="472" spans="2:2" ht="15.75" customHeight="1" x14ac:dyDescent="0.3">
      <c r="B472" s="34"/>
    </row>
    <row r="473" spans="2:2" ht="15.75" customHeight="1" x14ac:dyDescent="0.3">
      <c r="B473" s="34"/>
    </row>
    <row r="474" spans="2:2" ht="15.75" customHeight="1" x14ac:dyDescent="0.3">
      <c r="B474" s="34"/>
    </row>
    <row r="475" spans="2:2" ht="15.75" customHeight="1" x14ac:dyDescent="0.3">
      <c r="B475" s="34"/>
    </row>
    <row r="476" spans="2:2" ht="15.75" customHeight="1" x14ac:dyDescent="0.3">
      <c r="B476" s="34"/>
    </row>
    <row r="477" spans="2:2" ht="15.75" customHeight="1" x14ac:dyDescent="0.3">
      <c r="B477" s="34"/>
    </row>
    <row r="478" spans="2:2" ht="15.75" customHeight="1" x14ac:dyDescent="0.3">
      <c r="B478" s="34"/>
    </row>
    <row r="479" spans="2:2" ht="15.75" customHeight="1" x14ac:dyDescent="0.3">
      <c r="B479" s="34"/>
    </row>
    <row r="480" spans="2:2" ht="15.75" customHeight="1" x14ac:dyDescent="0.3">
      <c r="B480" s="34"/>
    </row>
    <row r="481" spans="2:2" ht="15.75" customHeight="1" x14ac:dyDescent="0.3">
      <c r="B481" s="34"/>
    </row>
    <row r="482" spans="2:2" ht="15.75" customHeight="1" x14ac:dyDescent="0.3">
      <c r="B482" s="34"/>
    </row>
    <row r="483" spans="2:2" ht="15.75" customHeight="1" x14ac:dyDescent="0.3">
      <c r="B483" s="34"/>
    </row>
    <row r="484" spans="2:2" ht="15.75" customHeight="1" x14ac:dyDescent="0.3">
      <c r="B484" s="34"/>
    </row>
    <row r="485" spans="2:2" ht="15.75" customHeight="1" x14ac:dyDescent="0.3">
      <c r="B485" s="34"/>
    </row>
    <row r="486" spans="2:2" ht="15.75" customHeight="1" x14ac:dyDescent="0.3">
      <c r="B486" s="34"/>
    </row>
    <row r="487" spans="2:2" ht="15.75" customHeight="1" x14ac:dyDescent="0.3">
      <c r="B487" s="34"/>
    </row>
    <row r="488" spans="2:2" ht="15.75" customHeight="1" x14ac:dyDescent="0.3">
      <c r="B488" s="34"/>
    </row>
    <row r="489" spans="2:2" ht="15.75" customHeight="1" x14ac:dyDescent="0.3">
      <c r="B489" s="34"/>
    </row>
    <row r="490" spans="2:2" ht="15.75" customHeight="1" x14ac:dyDescent="0.3">
      <c r="B490" s="34"/>
    </row>
    <row r="491" spans="2:2" ht="15.75" customHeight="1" x14ac:dyDescent="0.3">
      <c r="B491" s="34"/>
    </row>
    <row r="492" spans="2:2" ht="15.75" customHeight="1" x14ac:dyDescent="0.3">
      <c r="B492" s="34"/>
    </row>
    <row r="493" spans="2:2" ht="15.75" customHeight="1" x14ac:dyDescent="0.3">
      <c r="B493" s="34"/>
    </row>
    <row r="494" spans="2:2" ht="15.75" customHeight="1" x14ac:dyDescent="0.3">
      <c r="B494" s="34"/>
    </row>
    <row r="495" spans="2:2" ht="15.75" customHeight="1" x14ac:dyDescent="0.3">
      <c r="B495" s="34"/>
    </row>
    <row r="496" spans="2:2" ht="15.75" customHeight="1" x14ac:dyDescent="0.3">
      <c r="B496" s="34"/>
    </row>
    <row r="497" spans="2:2" ht="15.75" customHeight="1" x14ac:dyDescent="0.3">
      <c r="B497" s="34"/>
    </row>
    <row r="498" spans="2:2" ht="15.75" customHeight="1" x14ac:dyDescent="0.3">
      <c r="B498" s="34"/>
    </row>
    <row r="499" spans="2:2" ht="15.75" customHeight="1" x14ac:dyDescent="0.3">
      <c r="B499" s="34"/>
    </row>
    <row r="500" spans="2:2" ht="15.75" customHeight="1" x14ac:dyDescent="0.3">
      <c r="B500" s="34"/>
    </row>
    <row r="501" spans="2:2" ht="15.75" customHeight="1" x14ac:dyDescent="0.3">
      <c r="B501" s="34"/>
    </row>
    <row r="502" spans="2:2" ht="15.75" customHeight="1" x14ac:dyDescent="0.3">
      <c r="B502" s="34"/>
    </row>
    <row r="503" spans="2:2" ht="15.75" customHeight="1" x14ac:dyDescent="0.3">
      <c r="B503" s="34"/>
    </row>
    <row r="504" spans="2:2" ht="15.75" customHeight="1" x14ac:dyDescent="0.3">
      <c r="B504" s="34"/>
    </row>
    <row r="505" spans="2:2" ht="15.75" customHeight="1" x14ac:dyDescent="0.3">
      <c r="B505" s="34"/>
    </row>
    <row r="506" spans="2:2" ht="15.75" customHeight="1" x14ac:dyDescent="0.3">
      <c r="B506" s="34"/>
    </row>
    <row r="507" spans="2:2" ht="15.75" customHeight="1" x14ac:dyDescent="0.3">
      <c r="B507" s="34"/>
    </row>
    <row r="508" spans="2:2" ht="15.75" customHeight="1" x14ac:dyDescent="0.3">
      <c r="B508" s="34"/>
    </row>
    <row r="509" spans="2:2" ht="15.75" customHeight="1" x14ac:dyDescent="0.3">
      <c r="B509" s="34"/>
    </row>
    <row r="510" spans="2:2" ht="15.75" customHeight="1" x14ac:dyDescent="0.3">
      <c r="B510" s="34"/>
    </row>
    <row r="511" spans="2:2" ht="15.75" customHeight="1" x14ac:dyDescent="0.3">
      <c r="B511" s="34"/>
    </row>
    <row r="512" spans="2:2" ht="15.75" customHeight="1" x14ac:dyDescent="0.3">
      <c r="B512" s="34"/>
    </row>
    <row r="513" spans="2:2" ht="15.75" customHeight="1" x14ac:dyDescent="0.3">
      <c r="B513" s="34"/>
    </row>
    <row r="514" spans="2:2" ht="15.75" customHeight="1" x14ac:dyDescent="0.3">
      <c r="B514" s="34"/>
    </row>
    <row r="515" spans="2:2" ht="15.75" customHeight="1" x14ac:dyDescent="0.3">
      <c r="B515" s="34"/>
    </row>
    <row r="516" spans="2:2" ht="15.75" customHeight="1" x14ac:dyDescent="0.3">
      <c r="B516" s="34"/>
    </row>
    <row r="517" spans="2:2" ht="15.75" customHeight="1" x14ac:dyDescent="0.3">
      <c r="B517" s="34"/>
    </row>
    <row r="518" spans="2:2" ht="15.75" customHeight="1" x14ac:dyDescent="0.3">
      <c r="B518" s="34"/>
    </row>
    <row r="519" spans="2:2" ht="15.75" customHeight="1" x14ac:dyDescent="0.3">
      <c r="B519" s="34"/>
    </row>
    <row r="520" spans="2:2" ht="15.75" customHeight="1" x14ac:dyDescent="0.3">
      <c r="B520" s="34"/>
    </row>
    <row r="521" spans="2:2" ht="15.75" customHeight="1" x14ac:dyDescent="0.3">
      <c r="B521" s="34"/>
    </row>
    <row r="522" spans="2:2" ht="15.75" customHeight="1" x14ac:dyDescent="0.3">
      <c r="B522" s="34"/>
    </row>
    <row r="523" spans="2:2" ht="15.75" customHeight="1" x14ac:dyDescent="0.3">
      <c r="B523" s="34"/>
    </row>
    <row r="524" spans="2:2" ht="15.75" customHeight="1" x14ac:dyDescent="0.3">
      <c r="B524" s="34"/>
    </row>
    <row r="525" spans="2:2" ht="15.75" customHeight="1" x14ac:dyDescent="0.3">
      <c r="B525" s="34"/>
    </row>
    <row r="526" spans="2:2" ht="15.75" customHeight="1" x14ac:dyDescent="0.3">
      <c r="B526" s="34"/>
    </row>
    <row r="527" spans="2:2" ht="15.75" customHeight="1" x14ac:dyDescent="0.3">
      <c r="B527" s="34"/>
    </row>
    <row r="528" spans="2:2" ht="15.75" customHeight="1" x14ac:dyDescent="0.3">
      <c r="B528" s="34"/>
    </row>
    <row r="529" spans="2:2" ht="15.75" customHeight="1" x14ac:dyDescent="0.3">
      <c r="B529" s="34"/>
    </row>
    <row r="530" spans="2:2" ht="15.75" customHeight="1" x14ac:dyDescent="0.3">
      <c r="B530" s="34"/>
    </row>
    <row r="531" spans="2:2" ht="15.75" customHeight="1" x14ac:dyDescent="0.3">
      <c r="B531" s="34"/>
    </row>
    <row r="532" spans="2:2" ht="15.75" customHeight="1" x14ac:dyDescent="0.3">
      <c r="B532" s="34"/>
    </row>
    <row r="533" spans="2:2" ht="15.75" customHeight="1" x14ac:dyDescent="0.3">
      <c r="B533" s="34"/>
    </row>
    <row r="534" spans="2:2" ht="15.75" customHeight="1" x14ac:dyDescent="0.3">
      <c r="B534" s="34"/>
    </row>
    <row r="535" spans="2:2" ht="15.75" customHeight="1" x14ac:dyDescent="0.3">
      <c r="B535" s="34"/>
    </row>
    <row r="536" spans="2:2" ht="15.75" customHeight="1" x14ac:dyDescent="0.3">
      <c r="B536" s="34"/>
    </row>
    <row r="537" spans="2:2" ht="15.75" customHeight="1" x14ac:dyDescent="0.3">
      <c r="B537" s="34"/>
    </row>
    <row r="538" spans="2:2" ht="15.75" customHeight="1" x14ac:dyDescent="0.3">
      <c r="B538" s="34"/>
    </row>
    <row r="539" spans="2:2" ht="15.75" customHeight="1" x14ac:dyDescent="0.3">
      <c r="B539" s="34"/>
    </row>
    <row r="540" spans="2:2" ht="15.75" customHeight="1" x14ac:dyDescent="0.3">
      <c r="B540" s="34"/>
    </row>
    <row r="541" spans="2:2" ht="15.75" customHeight="1" x14ac:dyDescent="0.3">
      <c r="B541" s="34"/>
    </row>
    <row r="542" spans="2:2" ht="15.75" customHeight="1" x14ac:dyDescent="0.3">
      <c r="B542" s="34"/>
    </row>
    <row r="543" spans="2:2" ht="15.75" customHeight="1" x14ac:dyDescent="0.3">
      <c r="B543" s="34"/>
    </row>
    <row r="544" spans="2:2" ht="15.75" customHeight="1" x14ac:dyDescent="0.3">
      <c r="B544" s="34"/>
    </row>
    <row r="545" spans="2:2" ht="15.75" customHeight="1" x14ac:dyDescent="0.3">
      <c r="B545" s="34"/>
    </row>
    <row r="546" spans="2:2" ht="15.75" customHeight="1" x14ac:dyDescent="0.3">
      <c r="B546" s="34"/>
    </row>
    <row r="547" spans="2:2" ht="15.75" customHeight="1" x14ac:dyDescent="0.3">
      <c r="B547" s="34"/>
    </row>
    <row r="548" spans="2:2" ht="15.75" customHeight="1" x14ac:dyDescent="0.3">
      <c r="B548" s="34"/>
    </row>
    <row r="549" spans="2:2" ht="15.75" customHeight="1" x14ac:dyDescent="0.3">
      <c r="B549" s="34"/>
    </row>
    <row r="550" spans="2:2" ht="15.75" customHeight="1" x14ac:dyDescent="0.3">
      <c r="B550" s="34"/>
    </row>
    <row r="551" spans="2:2" ht="15.75" customHeight="1" x14ac:dyDescent="0.3">
      <c r="B551" s="34"/>
    </row>
    <row r="552" spans="2:2" ht="15.75" customHeight="1" x14ac:dyDescent="0.3">
      <c r="B552" s="34"/>
    </row>
    <row r="553" spans="2:2" ht="15.75" customHeight="1" x14ac:dyDescent="0.3">
      <c r="B553" s="34"/>
    </row>
    <row r="554" spans="2:2" ht="15.75" customHeight="1" x14ac:dyDescent="0.3">
      <c r="B554" s="34"/>
    </row>
    <row r="555" spans="2:2" ht="15.75" customHeight="1" x14ac:dyDescent="0.3">
      <c r="B555" s="34"/>
    </row>
    <row r="556" spans="2:2" ht="15.75" customHeight="1" x14ac:dyDescent="0.3">
      <c r="B556" s="34"/>
    </row>
    <row r="557" spans="2:2" ht="15.75" customHeight="1" x14ac:dyDescent="0.3">
      <c r="B557" s="34"/>
    </row>
    <row r="558" spans="2:2" ht="15.75" customHeight="1" x14ac:dyDescent="0.3">
      <c r="B558" s="34"/>
    </row>
    <row r="559" spans="2:2" ht="15.75" customHeight="1" x14ac:dyDescent="0.3">
      <c r="B559" s="34"/>
    </row>
    <row r="560" spans="2:2" ht="15.75" customHeight="1" x14ac:dyDescent="0.3">
      <c r="B560" s="34"/>
    </row>
    <row r="561" spans="2:2" ht="15.75" customHeight="1" x14ac:dyDescent="0.3">
      <c r="B561" s="34"/>
    </row>
    <row r="562" spans="2:2" ht="15.75" customHeight="1" x14ac:dyDescent="0.3">
      <c r="B562" s="34"/>
    </row>
    <row r="563" spans="2:2" ht="15.75" customHeight="1" x14ac:dyDescent="0.3">
      <c r="B563" s="34"/>
    </row>
    <row r="564" spans="2:2" ht="15.75" customHeight="1" x14ac:dyDescent="0.3">
      <c r="B564" s="34"/>
    </row>
    <row r="565" spans="2:2" ht="15.75" customHeight="1" x14ac:dyDescent="0.3">
      <c r="B565" s="34"/>
    </row>
    <row r="566" spans="2:2" ht="15.75" customHeight="1" x14ac:dyDescent="0.3">
      <c r="B566" s="34"/>
    </row>
    <row r="567" spans="2:2" ht="15.75" customHeight="1" x14ac:dyDescent="0.3">
      <c r="B567" s="34"/>
    </row>
    <row r="568" spans="2:2" ht="15.75" customHeight="1" x14ac:dyDescent="0.3">
      <c r="B568" s="34"/>
    </row>
    <row r="569" spans="2:2" ht="15.75" customHeight="1" x14ac:dyDescent="0.3">
      <c r="B569" s="34"/>
    </row>
    <row r="570" spans="2:2" ht="15.75" customHeight="1" x14ac:dyDescent="0.3">
      <c r="B570" s="34"/>
    </row>
    <row r="571" spans="2:2" ht="15.75" customHeight="1" x14ac:dyDescent="0.3">
      <c r="B571" s="34"/>
    </row>
    <row r="572" spans="2:2" ht="15.75" customHeight="1" x14ac:dyDescent="0.3">
      <c r="B572" s="34"/>
    </row>
    <row r="573" spans="2:2" ht="15.75" customHeight="1" x14ac:dyDescent="0.3">
      <c r="B573" s="34"/>
    </row>
    <row r="574" spans="2:2" ht="15.75" customHeight="1" x14ac:dyDescent="0.3">
      <c r="B574" s="34"/>
    </row>
    <row r="575" spans="2:2" ht="15.75" customHeight="1" x14ac:dyDescent="0.3">
      <c r="B575" s="34"/>
    </row>
    <row r="576" spans="2:2" ht="15.75" customHeight="1" x14ac:dyDescent="0.3">
      <c r="B576" s="34"/>
    </row>
    <row r="577" spans="2:2" ht="15.75" customHeight="1" x14ac:dyDescent="0.3">
      <c r="B577" s="34"/>
    </row>
    <row r="578" spans="2:2" ht="15.75" customHeight="1" x14ac:dyDescent="0.3">
      <c r="B578" s="34"/>
    </row>
    <row r="579" spans="2:2" ht="15.75" customHeight="1" x14ac:dyDescent="0.3">
      <c r="B579" s="34"/>
    </row>
    <row r="580" spans="2:2" ht="15.75" customHeight="1" x14ac:dyDescent="0.3">
      <c r="B580" s="34"/>
    </row>
    <row r="581" spans="2:2" ht="15.75" customHeight="1" x14ac:dyDescent="0.3">
      <c r="B581" s="34"/>
    </row>
    <row r="582" spans="2:2" ht="15.75" customHeight="1" x14ac:dyDescent="0.3">
      <c r="B582" s="34"/>
    </row>
    <row r="583" spans="2:2" ht="15.75" customHeight="1" x14ac:dyDescent="0.3">
      <c r="B583" s="34"/>
    </row>
    <row r="584" spans="2:2" ht="15.75" customHeight="1" x14ac:dyDescent="0.3">
      <c r="B584" s="34"/>
    </row>
    <row r="585" spans="2:2" ht="15.75" customHeight="1" x14ac:dyDescent="0.3">
      <c r="B585" s="34"/>
    </row>
    <row r="586" spans="2:2" ht="15.75" customHeight="1" x14ac:dyDescent="0.3">
      <c r="B586" s="34"/>
    </row>
    <row r="587" spans="2:2" ht="15.75" customHeight="1" x14ac:dyDescent="0.3">
      <c r="B587" s="34"/>
    </row>
    <row r="588" spans="2:2" ht="15.75" customHeight="1" x14ac:dyDescent="0.3">
      <c r="B588" s="34"/>
    </row>
    <row r="589" spans="2:2" ht="15.75" customHeight="1" x14ac:dyDescent="0.3">
      <c r="B589" s="34"/>
    </row>
    <row r="590" spans="2:2" ht="15.75" customHeight="1" x14ac:dyDescent="0.3">
      <c r="B590" s="34"/>
    </row>
    <row r="591" spans="2:2" ht="15.75" customHeight="1" x14ac:dyDescent="0.3">
      <c r="B591" s="34"/>
    </row>
    <row r="592" spans="2:2" ht="15.75" customHeight="1" x14ac:dyDescent="0.3">
      <c r="B592" s="34"/>
    </row>
    <row r="593" spans="2:2" ht="15.75" customHeight="1" x14ac:dyDescent="0.3">
      <c r="B593" s="34"/>
    </row>
    <row r="594" spans="2:2" ht="15.75" customHeight="1" x14ac:dyDescent="0.3">
      <c r="B594" s="34"/>
    </row>
    <row r="595" spans="2:2" ht="15.75" customHeight="1" x14ac:dyDescent="0.3">
      <c r="B595" s="34"/>
    </row>
    <row r="596" spans="2:2" ht="15.75" customHeight="1" x14ac:dyDescent="0.3">
      <c r="B596" s="34"/>
    </row>
    <row r="597" spans="2:2" ht="15.75" customHeight="1" x14ac:dyDescent="0.3">
      <c r="B597" s="34"/>
    </row>
    <row r="598" spans="2:2" ht="15.75" customHeight="1" x14ac:dyDescent="0.3">
      <c r="B598" s="34"/>
    </row>
    <row r="599" spans="2:2" ht="15.75" customHeight="1" x14ac:dyDescent="0.3">
      <c r="B599" s="34"/>
    </row>
    <row r="600" spans="2:2" ht="15.75" customHeight="1" x14ac:dyDescent="0.3">
      <c r="B600" s="34"/>
    </row>
    <row r="601" spans="2:2" ht="15.75" customHeight="1" x14ac:dyDescent="0.3">
      <c r="B601" s="34"/>
    </row>
    <row r="602" spans="2:2" ht="15.75" customHeight="1" x14ac:dyDescent="0.3">
      <c r="B602" s="34"/>
    </row>
    <row r="603" spans="2:2" ht="15.75" customHeight="1" x14ac:dyDescent="0.3">
      <c r="B603" s="34"/>
    </row>
    <row r="604" spans="2:2" ht="15.75" customHeight="1" x14ac:dyDescent="0.3">
      <c r="B604" s="34"/>
    </row>
    <row r="605" spans="2:2" ht="15.75" customHeight="1" x14ac:dyDescent="0.3">
      <c r="B605" s="34"/>
    </row>
    <row r="606" spans="2:2" ht="15.75" customHeight="1" x14ac:dyDescent="0.3">
      <c r="B606" s="34"/>
    </row>
    <row r="607" spans="2:2" ht="15.75" customHeight="1" x14ac:dyDescent="0.3">
      <c r="B607" s="34"/>
    </row>
    <row r="608" spans="2:2" ht="15.75" customHeight="1" x14ac:dyDescent="0.3">
      <c r="B608" s="34"/>
    </row>
    <row r="609" spans="2:2" ht="15.75" customHeight="1" x14ac:dyDescent="0.3">
      <c r="B609" s="34"/>
    </row>
    <row r="610" spans="2:2" ht="15.75" customHeight="1" x14ac:dyDescent="0.3">
      <c r="B610" s="34"/>
    </row>
    <row r="611" spans="2:2" ht="15.75" customHeight="1" x14ac:dyDescent="0.3">
      <c r="B611" s="34"/>
    </row>
    <row r="612" spans="2:2" ht="15.75" customHeight="1" x14ac:dyDescent="0.3">
      <c r="B612" s="34"/>
    </row>
    <row r="613" spans="2:2" ht="15.75" customHeight="1" x14ac:dyDescent="0.3">
      <c r="B613" s="34"/>
    </row>
    <row r="614" spans="2:2" ht="15.75" customHeight="1" x14ac:dyDescent="0.3">
      <c r="B614" s="34"/>
    </row>
    <row r="615" spans="2:2" ht="15.75" customHeight="1" x14ac:dyDescent="0.3">
      <c r="B615" s="34"/>
    </row>
    <row r="616" spans="2:2" ht="15.75" customHeight="1" x14ac:dyDescent="0.3">
      <c r="B616" s="34"/>
    </row>
    <row r="617" spans="2:2" ht="15.75" customHeight="1" x14ac:dyDescent="0.3">
      <c r="B617" s="34"/>
    </row>
    <row r="618" spans="2:2" ht="15.75" customHeight="1" x14ac:dyDescent="0.3">
      <c r="B618" s="34"/>
    </row>
    <row r="619" spans="2:2" ht="15.75" customHeight="1" x14ac:dyDescent="0.3">
      <c r="B619" s="34"/>
    </row>
    <row r="620" spans="2:2" ht="15.75" customHeight="1" x14ac:dyDescent="0.3">
      <c r="B620" s="34"/>
    </row>
    <row r="621" spans="2:2" ht="15.75" customHeight="1" x14ac:dyDescent="0.3">
      <c r="B621" s="34"/>
    </row>
    <row r="622" spans="2:2" ht="15.75" customHeight="1" x14ac:dyDescent="0.3">
      <c r="B622" s="34"/>
    </row>
    <row r="623" spans="2:2" ht="15.75" customHeight="1" x14ac:dyDescent="0.3">
      <c r="B623" s="34"/>
    </row>
    <row r="624" spans="2:2" ht="15.75" customHeight="1" x14ac:dyDescent="0.3">
      <c r="B624" s="34"/>
    </row>
    <row r="625" spans="2:2" ht="15.75" customHeight="1" x14ac:dyDescent="0.3">
      <c r="B625" s="34"/>
    </row>
    <row r="626" spans="2:2" ht="15.75" customHeight="1" x14ac:dyDescent="0.3">
      <c r="B626" s="34"/>
    </row>
    <row r="627" spans="2:2" ht="15.75" customHeight="1" x14ac:dyDescent="0.3">
      <c r="B627" s="34"/>
    </row>
    <row r="628" spans="2:2" ht="15.75" customHeight="1" x14ac:dyDescent="0.3">
      <c r="B628" s="34"/>
    </row>
    <row r="629" spans="2:2" ht="15.75" customHeight="1" x14ac:dyDescent="0.3">
      <c r="B629" s="34"/>
    </row>
    <row r="630" spans="2:2" ht="15.75" customHeight="1" x14ac:dyDescent="0.3">
      <c r="B630" s="34"/>
    </row>
    <row r="631" spans="2:2" ht="15.75" customHeight="1" x14ac:dyDescent="0.3">
      <c r="B631" s="34"/>
    </row>
    <row r="632" spans="2:2" ht="15.75" customHeight="1" x14ac:dyDescent="0.3">
      <c r="B632" s="34"/>
    </row>
    <row r="633" spans="2:2" ht="15.75" customHeight="1" x14ac:dyDescent="0.3">
      <c r="B633" s="34"/>
    </row>
    <row r="634" spans="2:2" ht="15.75" customHeight="1" x14ac:dyDescent="0.3">
      <c r="B634" s="34"/>
    </row>
    <row r="635" spans="2:2" ht="15.75" customHeight="1" x14ac:dyDescent="0.3">
      <c r="B635" s="34"/>
    </row>
    <row r="636" spans="2:2" ht="15.75" customHeight="1" x14ac:dyDescent="0.3">
      <c r="B636" s="34"/>
    </row>
    <row r="637" spans="2:2" ht="15.75" customHeight="1" x14ac:dyDescent="0.3">
      <c r="B637" s="34"/>
    </row>
    <row r="638" spans="2:2" ht="15.75" customHeight="1" x14ac:dyDescent="0.3">
      <c r="B638" s="34"/>
    </row>
    <row r="639" spans="2:2" ht="15.75" customHeight="1" x14ac:dyDescent="0.3">
      <c r="B639" s="34"/>
    </row>
    <row r="640" spans="2:2" ht="15.75" customHeight="1" x14ac:dyDescent="0.3">
      <c r="B640" s="34"/>
    </row>
    <row r="641" spans="2:2" ht="15.75" customHeight="1" x14ac:dyDescent="0.3">
      <c r="B641" s="34"/>
    </row>
    <row r="642" spans="2:2" ht="15.75" customHeight="1" x14ac:dyDescent="0.3">
      <c r="B642" s="34"/>
    </row>
    <row r="643" spans="2:2" ht="15.75" customHeight="1" x14ac:dyDescent="0.3">
      <c r="B643" s="34"/>
    </row>
    <row r="644" spans="2:2" ht="15.75" customHeight="1" x14ac:dyDescent="0.3">
      <c r="B644" s="34"/>
    </row>
    <row r="645" spans="2:2" ht="15.75" customHeight="1" x14ac:dyDescent="0.3">
      <c r="B645" s="34"/>
    </row>
    <row r="646" spans="2:2" ht="15.75" customHeight="1" x14ac:dyDescent="0.3">
      <c r="B646" s="34"/>
    </row>
    <row r="647" spans="2:2" ht="15.75" customHeight="1" x14ac:dyDescent="0.3">
      <c r="B647" s="34"/>
    </row>
    <row r="648" spans="2:2" ht="15.75" customHeight="1" x14ac:dyDescent="0.3">
      <c r="B648" s="34"/>
    </row>
    <row r="649" spans="2:2" ht="15.75" customHeight="1" x14ac:dyDescent="0.3">
      <c r="B649" s="34"/>
    </row>
    <row r="650" spans="2:2" ht="15.75" customHeight="1" x14ac:dyDescent="0.3">
      <c r="B650" s="34"/>
    </row>
    <row r="651" spans="2:2" ht="15.75" customHeight="1" x14ac:dyDescent="0.3">
      <c r="B651" s="34"/>
    </row>
    <row r="652" spans="2:2" ht="15.75" customHeight="1" x14ac:dyDescent="0.3">
      <c r="B652" s="34"/>
    </row>
    <row r="653" spans="2:2" ht="15.75" customHeight="1" x14ac:dyDescent="0.3">
      <c r="B653" s="34"/>
    </row>
    <row r="654" spans="2:2" ht="15.75" customHeight="1" x14ac:dyDescent="0.3">
      <c r="B654" s="34"/>
    </row>
    <row r="655" spans="2:2" ht="15.75" customHeight="1" x14ac:dyDescent="0.3">
      <c r="B655" s="34"/>
    </row>
    <row r="656" spans="2:2" ht="15.75" customHeight="1" x14ac:dyDescent="0.3">
      <c r="B656" s="34"/>
    </row>
    <row r="657" spans="2:2" ht="15.75" customHeight="1" x14ac:dyDescent="0.3">
      <c r="B657" s="34"/>
    </row>
    <row r="658" spans="2:2" ht="15.75" customHeight="1" x14ac:dyDescent="0.3">
      <c r="B658" s="34"/>
    </row>
    <row r="659" spans="2:2" ht="15.75" customHeight="1" x14ac:dyDescent="0.3">
      <c r="B659" s="34"/>
    </row>
    <row r="660" spans="2:2" ht="15.75" customHeight="1" x14ac:dyDescent="0.3">
      <c r="B660" s="34"/>
    </row>
    <row r="661" spans="2:2" ht="15.75" customHeight="1" x14ac:dyDescent="0.3">
      <c r="B661" s="34"/>
    </row>
    <row r="662" spans="2:2" ht="15.75" customHeight="1" x14ac:dyDescent="0.3">
      <c r="B662" s="34"/>
    </row>
    <row r="663" spans="2:2" ht="15.75" customHeight="1" x14ac:dyDescent="0.3">
      <c r="B663" s="34"/>
    </row>
    <row r="664" spans="2:2" ht="15.75" customHeight="1" x14ac:dyDescent="0.3">
      <c r="B664" s="34"/>
    </row>
    <row r="665" spans="2:2" ht="15.75" customHeight="1" x14ac:dyDescent="0.3">
      <c r="B665" s="34"/>
    </row>
    <row r="666" spans="2:2" ht="15.75" customHeight="1" x14ac:dyDescent="0.3">
      <c r="B666" s="34"/>
    </row>
    <row r="667" spans="2:2" ht="15.75" customHeight="1" x14ac:dyDescent="0.3">
      <c r="B667" s="34"/>
    </row>
    <row r="668" spans="2:2" ht="15.75" customHeight="1" x14ac:dyDescent="0.3">
      <c r="B668" s="34"/>
    </row>
    <row r="669" spans="2:2" ht="15.75" customHeight="1" x14ac:dyDescent="0.3">
      <c r="B669" s="34"/>
    </row>
    <row r="670" spans="2:2" ht="15.75" customHeight="1" x14ac:dyDescent="0.3">
      <c r="B670" s="34"/>
    </row>
    <row r="671" spans="2:2" ht="15.75" customHeight="1" x14ac:dyDescent="0.3">
      <c r="B671" s="34"/>
    </row>
    <row r="672" spans="2:2" ht="15.75" customHeight="1" x14ac:dyDescent="0.3">
      <c r="B672" s="34"/>
    </row>
    <row r="673" spans="2:2" ht="15.75" customHeight="1" x14ac:dyDescent="0.3">
      <c r="B673" s="34"/>
    </row>
    <row r="674" spans="2:2" ht="15.75" customHeight="1" x14ac:dyDescent="0.3">
      <c r="B674" s="34"/>
    </row>
    <row r="675" spans="2:2" ht="15.75" customHeight="1" x14ac:dyDescent="0.3">
      <c r="B675" s="34"/>
    </row>
    <row r="676" spans="2:2" ht="15.75" customHeight="1" x14ac:dyDescent="0.3">
      <c r="B676" s="34"/>
    </row>
    <row r="677" spans="2:2" ht="15.75" customHeight="1" x14ac:dyDescent="0.3">
      <c r="B677" s="34"/>
    </row>
    <row r="678" spans="2:2" ht="15.75" customHeight="1" x14ac:dyDescent="0.3">
      <c r="B678" s="34"/>
    </row>
    <row r="679" spans="2:2" ht="15.75" customHeight="1" x14ac:dyDescent="0.3">
      <c r="B679" s="34"/>
    </row>
    <row r="680" spans="2:2" ht="15.75" customHeight="1" x14ac:dyDescent="0.3">
      <c r="B680" s="34"/>
    </row>
    <row r="681" spans="2:2" ht="15.75" customHeight="1" x14ac:dyDescent="0.3">
      <c r="B681" s="34"/>
    </row>
    <row r="682" spans="2:2" ht="15.75" customHeight="1" x14ac:dyDescent="0.3">
      <c r="B682" s="34"/>
    </row>
    <row r="683" spans="2:2" ht="15.75" customHeight="1" x14ac:dyDescent="0.3">
      <c r="B683" s="34"/>
    </row>
    <row r="684" spans="2:2" ht="15.75" customHeight="1" x14ac:dyDescent="0.3">
      <c r="B684" s="34"/>
    </row>
    <row r="685" spans="2:2" ht="15.75" customHeight="1" x14ac:dyDescent="0.3">
      <c r="B685" s="34"/>
    </row>
    <row r="686" spans="2:2" ht="15.75" customHeight="1" x14ac:dyDescent="0.3">
      <c r="B686" s="34"/>
    </row>
    <row r="687" spans="2:2" ht="15.75" customHeight="1" x14ac:dyDescent="0.3">
      <c r="B687" s="34"/>
    </row>
    <row r="688" spans="2:2" ht="15.75" customHeight="1" x14ac:dyDescent="0.3">
      <c r="B688" s="34"/>
    </row>
    <row r="689" spans="2:2" ht="15.75" customHeight="1" x14ac:dyDescent="0.3">
      <c r="B689" s="34"/>
    </row>
    <row r="690" spans="2:2" ht="15.75" customHeight="1" x14ac:dyDescent="0.3">
      <c r="B690" s="34"/>
    </row>
    <row r="691" spans="2:2" ht="15.75" customHeight="1" x14ac:dyDescent="0.3">
      <c r="B691" s="34"/>
    </row>
    <row r="692" spans="2:2" ht="15.75" customHeight="1" x14ac:dyDescent="0.3">
      <c r="B692" s="34"/>
    </row>
    <row r="693" spans="2:2" ht="15.75" customHeight="1" x14ac:dyDescent="0.3">
      <c r="B693" s="34"/>
    </row>
    <row r="694" spans="2:2" ht="15.75" customHeight="1" x14ac:dyDescent="0.3">
      <c r="B694" s="34"/>
    </row>
    <row r="695" spans="2:2" ht="15.75" customHeight="1" x14ac:dyDescent="0.3">
      <c r="B695" s="34"/>
    </row>
    <row r="696" spans="2:2" ht="15.75" customHeight="1" x14ac:dyDescent="0.3">
      <c r="B696" s="34"/>
    </row>
    <row r="697" spans="2:2" ht="15.75" customHeight="1" x14ac:dyDescent="0.3">
      <c r="B697" s="34"/>
    </row>
    <row r="698" spans="2:2" ht="15.75" customHeight="1" x14ac:dyDescent="0.3">
      <c r="B698" s="34"/>
    </row>
    <row r="699" spans="2:2" ht="15.75" customHeight="1" x14ac:dyDescent="0.3">
      <c r="B699" s="34"/>
    </row>
    <row r="700" spans="2:2" ht="15.75" customHeight="1" x14ac:dyDescent="0.3">
      <c r="B700" s="34"/>
    </row>
    <row r="701" spans="2:2" ht="15.75" customHeight="1" x14ac:dyDescent="0.3">
      <c r="B701" s="34"/>
    </row>
    <row r="702" spans="2:2" ht="15.75" customHeight="1" x14ac:dyDescent="0.3">
      <c r="B702" s="34"/>
    </row>
    <row r="703" spans="2:2" ht="15.75" customHeight="1" x14ac:dyDescent="0.3">
      <c r="B703" s="34"/>
    </row>
    <row r="704" spans="2:2" ht="15.75" customHeight="1" x14ac:dyDescent="0.3">
      <c r="B704" s="34"/>
    </row>
    <row r="705" spans="2:2" ht="15.75" customHeight="1" x14ac:dyDescent="0.3">
      <c r="B705" s="34"/>
    </row>
    <row r="706" spans="2:2" ht="15.75" customHeight="1" x14ac:dyDescent="0.3">
      <c r="B706" s="34"/>
    </row>
    <row r="707" spans="2:2" ht="15.75" customHeight="1" x14ac:dyDescent="0.3">
      <c r="B707" s="34"/>
    </row>
    <row r="708" spans="2:2" ht="15.75" customHeight="1" x14ac:dyDescent="0.3">
      <c r="B708" s="34"/>
    </row>
    <row r="709" spans="2:2" ht="15.75" customHeight="1" x14ac:dyDescent="0.3">
      <c r="B709" s="34"/>
    </row>
    <row r="710" spans="2:2" ht="15.75" customHeight="1" x14ac:dyDescent="0.3">
      <c r="B710" s="34"/>
    </row>
    <row r="711" spans="2:2" ht="15.75" customHeight="1" x14ac:dyDescent="0.3">
      <c r="B711" s="34"/>
    </row>
    <row r="712" spans="2:2" ht="15.75" customHeight="1" x14ac:dyDescent="0.3">
      <c r="B712" s="34"/>
    </row>
    <row r="713" spans="2:2" ht="15.75" customHeight="1" x14ac:dyDescent="0.3">
      <c r="B713" s="34"/>
    </row>
    <row r="714" spans="2:2" ht="15.75" customHeight="1" x14ac:dyDescent="0.3">
      <c r="B714" s="34"/>
    </row>
    <row r="715" spans="2:2" ht="15.75" customHeight="1" x14ac:dyDescent="0.3">
      <c r="B715" s="34"/>
    </row>
    <row r="716" spans="2:2" ht="15.75" customHeight="1" x14ac:dyDescent="0.3">
      <c r="B716" s="34"/>
    </row>
    <row r="717" spans="2:2" ht="15.75" customHeight="1" x14ac:dyDescent="0.3">
      <c r="B717" s="34"/>
    </row>
    <row r="718" spans="2:2" ht="15.75" customHeight="1" x14ac:dyDescent="0.3">
      <c r="B718" s="34"/>
    </row>
    <row r="719" spans="2:2" ht="15.75" customHeight="1" x14ac:dyDescent="0.3">
      <c r="B719" s="34"/>
    </row>
    <row r="720" spans="2:2" ht="15.75" customHeight="1" x14ac:dyDescent="0.3">
      <c r="B720" s="34"/>
    </row>
    <row r="721" spans="2:2" ht="15.75" customHeight="1" x14ac:dyDescent="0.3">
      <c r="B721" s="34"/>
    </row>
    <row r="722" spans="2:2" ht="15.75" customHeight="1" x14ac:dyDescent="0.3">
      <c r="B722" s="34"/>
    </row>
    <row r="723" spans="2:2" ht="15.75" customHeight="1" x14ac:dyDescent="0.3">
      <c r="B723" s="34"/>
    </row>
    <row r="724" spans="2:2" ht="15.75" customHeight="1" x14ac:dyDescent="0.3">
      <c r="B724" s="34"/>
    </row>
    <row r="725" spans="2:2" ht="15.75" customHeight="1" x14ac:dyDescent="0.3">
      <c r="B725" s="34"/>
    </row>
    <row r="726" spans="2:2" ht="15.75" customHeight="1" x14ac:dyDescent="0.3">
      <c r="B726" s="34"/>
    </row>
    <row r="727" spans="2:2" ht="15.75" customHeight="1" x14ac:dyDescent="0.3">
      <c r="B727" s="34"/>
    </row>
    <row r="728" spans="2:2" ht="15.75" customHeight="1" x14ac:dyDescent="0.3">
      <c r="B728" s="34"/>
    </row>
    <row r="729" spans="2:2" ht="15.75" customHeight="1" x14ac:dyDescent="0.3">
      <c r="B729" s="34"/>
    </row>
    <row r="730" spans="2:2" ht="15.75" customHeight="1" x14ac:dyDescent="0.3">
      <c r="B730" s="34"/>
    </row>
    <row r="731" spans="2:2" ht="15.75" customHeight="1" x14ac:dyDescent="0.3">
      <c r="B731" s="34"/>
    </row>
    <row r="732" spans="2:2" ht="15.75" customHeight="1" x14ac:dyDescent="0.3">
      <c r="B732" s="34"/>
    </row>
    <row r="733" spans="2:2" ht="15.75" customHeight="1" x14ac:dyDescent="0.3">
      <c r="B733" s="34"/>
    </row>
    <row r="734" spans="2:2" ht="15.75" customHeight="1" x14ac:dyDescent="0.3">
      <c r="B734" s="34"/>
    </row>
    <row r="735" spans="2:2" ht="15.75" customHeight="1" x14ac:dyDescent="0.3">
      <c r="B735" s="34"/>
    </row>
    <row r="736" spans="2:2" ht="15.75" customHeight="1" x14ac:dyDescent="0.3">
      <c r="B736" s="34"/>
    </row>
    <row r="737" spans="2:2" ht="15.75" customHeight="1" x14ac:dyDescent="0.3">
      <c r="B737" s="34"/>
    </row>
    <row r="738" spans="2:2" ht="15.75" customHeight="1" x14ac:dyDescent="0.3">
      <c r="B738" s="34"/>
    </row>
    <row r="739" spans="2:2" ht="15.75" customHeight="1" x14ac:dyDescent="0.3">
      <c r="B739" s="34"/>
    </row>
    <row r="740" spans="2:2" ht="15.75" customHeight="1" x14ac:dyDescent="0.3">
      <c r="B740" s="34"/>
    </row>
    <row r="741" spans="2:2" ht="15.75" customHeight="1" x14ac:dyDescent="0.3">
      <c r="B741" s="34"/>
    </row>
    <row r="742" spans="2:2" ht="15.75" customHeight="1" x14ac:dyDescent="0.3">
      <c r="B742" s="34"/>
    </row>
    <row r="743" spans="2:2" ht="15.75" customHeight="1" x14ac:dyDescent="0.3">
      <c r="B743" s="34"/>
    </row>
    <row r="744" spans="2:2" ht="15.75" customHeight="1" x14ac:dyDescent="0.3">
      <c r="B744" s="34"/>
    </row>
    <row r="745" spans="2:2" ht="15.75" customHeight="1" x14ac:dyDescent="0.3">
      <c r="B745" s="34"/>
    </row>
    <row r="746" spans="2:2" ht="15.75" customHeight="1" x14ac:dyDescent="0.3">
      <c r="B746" s="34"/>
    </row>
    <row r="747" spans="2:2" ht="15.75" customHeight="1" x14ac:dyDescent="0.3">
      <c r="B747" s="34"/>
    </row>
    <row r="748" spans="2:2" ht="15.75" customHeight="1" x14ac:dyDescent="0.3">
      <c r="B748" s="34"/>
    </row>
    <row r="749" spans="2:2" ht="15.75" customHeight="1" x14ac:dyDescent="0.3">
      <c r="B749" s="34"/>
    </row>
    <row r="750" spans="2:2" ht="15.75" customHeight="1" x14ac:dyDescent="0.3">
      <c r="B750" s="34"/>
    </row>
    <row r="751" spans="2:2" ht="15.75" customHeight="1" x14ac:dyDescent="0.3">
      <c r="B751" s="34"/>
    </row>
    <row r="752" spans="2:2" ht="15.75" customHeight="1" x14ac:dyDescent="0.3">
      <c r="B752" s="34"/>
    </row>
    <row r="753" spans="2:2" ht="15.75" customHeight="1" x14ac:dyDescent="0.3">
      <c r="B753" s="34"/>
    </row>
    <row r="754" spans="2:2" ht="15.75" customHeight="1" x14ac:dyDescent="0.3">
      <c r="B754" s="34"/>
    </row>
    <row r="755" spans="2:2" ht="15.75" customHeight="1" x14ac:dyDescent="0.3">
      <c r="B755" s="34"/>
    </row>
    <row r="756" spans="2:2" ht="15.75" customHeight="1" x14ac:dyDescent="0.3">
      <c r="B756" s="34"/>
    </row>
    <row r="757" spans="2:2" ht="15.75" customHeight="1" x14ac:dyDescent="0.3">
      <c r="B757" s="34"/>
    </row>
    <row r="758" spans="2:2" ht="15.75" customHeight="1" x14ac:dyDescent="0.3">
      <c r="B758" s="34"/>
    </row>
    <row r="759" spans="2:2" ht="15.75" customHeight="1" x14ac:dyDescent="0.3">
      <c r="B759" s="34"/>
    </row>
    <row r="760" spans="2:2" ht="15.75" customHeight="1" x14ac:dyDescent="0.3">
      <c r="B760" s="34"/>
    </row>
    <row r="761" spans="2:2" ht="15.75" customHeight="1" x14ac:dyDescent="0.3">
      <c r="B761" s="34"/>
    </row>
    <row r="762" spans="2:2" ht="15.75" customHeight="1" x14ac:dyDescent="0.3">
      <c r="B762" s="34"/>
    </row>
    <row r="763" spans="2:2" ht="15.75" customHeight="1" x14ac:dyDescent="0.3">
      <c r="B763" s="34"/>
    </row>
    <row r="764" spans="2:2" ht="15.75" customHeight="1" x14ac:dyDescent="0.3">
      <c r="B764" s="34"/>
    </row>
    <row r="765" spans="2:2" ht="15.75" customHeight="1" x14ac:dyDescent="0.3">
      <c r="B765" s="34"/>
    </row>
    <row r="766" spans="2:2" ht="15.75" customHeight="1" x14ac:dyDescent="0.3">
      <c r="B766" s="34"/>
    </row>
    <row r="767" spans="2:2" ht="15.75" customHeight="1" x14ac:dyDescent="0.3">
      <c r="B767" s="34"/>
    </row>
    <row r="768" spans="2:2" ht="15.75" customHeight="1" x14ac:dyDescent="0.3">
      <c r="B768" s="34"/>
    </row>
    <row r="769" spans="2:2" ht="15.75" customHeight="1" x14ac:dyDescent="0.3">
      <c r="B769" s="34"/>
    </row>
    <row r="770" spans="2:2" ht="15.75" customHeight="1" x14ac:dyDescent="0.3">
      <c r="B770" s="34"/>
    </row>
    <row r="771" spans="2:2" ht="15.75" customHeight="1" x14ac:dyDescent="0.3">
      <c r="B771" s="34"/>
    </row>
    <row r="772" spans="2:2" ht="15.75" customHeight="1" x14ac:dyDescent="0.3">
      <c r="B772" s="34"/>
    </row>
    <row r="773" spans="2:2" ht="15.75" customHeight="1" x14ac:dyDescent="0.3">
      <c r="B773" s="34"/>
    </row>
    <row r="774" spans="2:2" ht="15.75" customHeight="1" x14ac:dyDescent="0.3">
      <c r="B774" s="34"/>
    </row>
    <row r="775" spans="2:2" ht="15.75" customHeight="1" x14ac:dyDescent="0.3">
      <c r="B775" s="34"/>
    </row>
    <row r="776" spans="2:2" ht="15.75" customHeight="1" x14ac:dyDescent="0.3">
      <c r="B776" s="34"/>
    </row>
    <row r="777" spans="2:2" ht="15.75" customHeight="1" x14ac:dyDescent="0.3">
      <c r="B777" s="34"/>
    </row>
    <row r="778" spans="2:2" ht="15.75" customHeight="1" x14ac:dyDescent="0.3">
      <c r="B778" s="34"/>
    </row>
    <row r="779" spans="2:2" ht="15.75" customHeight="1" x14ac:dyDescent="0.3">
      <c r="B779" s="34"/>
    </row>
    <row r="780" spans="2:2" ht="15.75" customHeight="1" x14ac:dyDescent="0.3">
      <c r="B780" s="34"/>
    </row>
    <row r="781" spans="2:2" ht="15.75" customHeight="1" x14ac:dyDescent="0.3">
      <c r="B781" s="34"/>
    </row>
    <row r="782" spans="2:2" ht="15.75" customHeight="1" x14ac:dyDescent="0.3">
      <c r="B782" s="34"/>
    </row>
    <row r="783" spans="2:2" ht="15.75" customHeight="1" x14ac:dyDescent="0.3">
      <c r="B783" s="34"/>
    </row>
    <row r="784" spans="2:2" ht="15.75" customHeight="1" x14ac:dyDescent="0.3">
      <c r="B784" s="34"/>
    </row>
    <row r="785" spans="2:2" ht="15.75" customHeight="1" x14ac:dyDescent="0.3">
      <c r="B785" s="34"/>
    </row>
    <row r="786" spans="2:2" ht="15.75" customHeight="1" x14ac:dyDescent="0.3">
      <c r="B786" s="34"/>
    </row>
    <row r="787" spans="2:2" ht="15.75" customHeight="1" x14ac:dyDescent="0.3">
      <c r="B787" s="34"/>
    </row>
    <row r="788" spans="2:2" ht="15.75" customHeight="1" x14ac:dyDescent="0.3">
      <c r="B788" s="34"/>
    </row>
    <row r="789" spans="2:2" ht="15.75" customHeight="1" x14ac:dyDescent="0.3">
      <c r="B789" s="34"/>
    </row>
    <row r="790" spans="2:2" ht="15.75" customHeight="1" x14ac:dyDescent="0.3">
      <c r="B790" s="34"/>
    </row>
    <row r="791" spans="2:2" ht="15.75" customHeight="1" x14ac:dyDescent="0.3">
      <c r="B791" s="34"/>
    </row>
    <row r="792" spans="2:2" ht="15.75" customHeight="1" x14ac:dyDescent="0.3">
      <c r="B792" s="34"/>
    </row>
    <row r="793" spans="2:2" ht="15.75" customHeight="1" x14ac:dyDescent="0.3">
      <c r="B793" s="34"/>
    </row>
    <row r="794" spans="2:2" ht="15.75" customHeight="1" x14ac:dyDescent="0.3">
      <c r="B794" s="34"/>
    </row>
    <row r="795" spans="2:2" ht="15.75" customHeight="1" x14ac:dyDescent="0.3">
      <c r="B795" s="34"/>
    </row>
    <row r="796" spans="2:2" ht="15.75" customHeight="1" x14ac:dyDescent="0.3">
      <c r="B796" s="34"/>
    </row>
    <row r="797" spans="2:2" ht="15.75" customHeight="1" x14ac:dyDescent="0.3">
      <c r="B797" s="34"/>
    </row>
    <row r="798" spans="2:2" ht="15.75" customHeight="1" x14ac:dyDescent="0.3">
      <c r="B798" s="34"/>
    </row>
    <row r="799" spans="2:2" ht="15.75" customHeight="1" x14ac:dyDescent="0.3">
      <c r="B799" s="34"/>
    </row>
    <row r="800" spans="2:2" ht="15.75" customHeight="1" x14ac:dyDescent="0.3">
      <c r="B800" s="34"/>
    </row>
    <row r="801" spans="2:2" ht="15.75" customHeight="1" x14ac:dyDescent="0.3">
      <c r="B801" s="34"/>
    </row>
    <row r="802" spans="2:2" ht="15.75" customHeight="1" x14ac:dyDescent="0.3">
      <c r="B802" s="34"/>
    </row>
    <row r="803" spans="2:2" ht="15.75" customHeight="1" x14ac:dyDescent="0.3">
      <c r="B803" s="34"/>
    </row>
    <row r="804" spans="2:2" ht="15.75" customHeight="1" x14ac:dyDescent="0.3">
      <c r="B804" s="34"/>
    </row>
    <row r="805" spans="2:2" ht="15.75" customHeight="1" x14ac:dyDescent="0.3">
      <c r="B805" s="34"/>
    </row>
    <row r="806" spans="2:2" ht="15.75" customHeight="1" x14ac:dyDescent="0.3">
      <c r="B806" s="34"/>
    </row>
    <row r="807" spans="2:2" ht="15.75" customHeight="1" x14ac:dyDescent="0.3">
      <c r="B807" s="34"/>
    </row>
    <row r="808" spans="2:2" ht="15.75" customHeight="1" x14ac:dyDescent="0.3">
      <c r="B808" s="34"/>
    </row>
    <row r="809" spans="2:2" ht="15.75" customHeight="1" x14ac:dyDescent="0.3">
      <c r="B809" s="34"/>
    </row>
    <row r="810" spans="2:2" ht="15.75" customHeight="1" x14ac:dyDescent="0.3">
      <c r="B810" s="34"/>
    </row>
    <row r="811" spans="2:2" ht="15.75" customHeight="1" x14ac:dyDescent="0.3">
      <c r="B811" s="34"/>
    </row>
    <row r="812" spans="2:2" ht="15.75" customHeight="1" x14ac:dyDescent="0.3">
      <c r="B812" s="34"/>
    </row>
    <row r="813" spans="2:2" ht="15.75" customHeight="1" x14ac:dyDescent="0.3">
      <c r="B813" s="34"/>
    </row>
    <row r="814" spans="2:2" ht="15.75" customHeight="1" x14ac:dyDescent="0.3">
      <c r="B814" s="34"/>
    </row>
    <row r="815" spans="2:2" ht="15.75" customHeight="1" x14ac:dyDescent="0.3">
      <c r="B815" s="34"/>
    </row>
    <row r="816" spans="2:2" ht="15.75" customHeight="1" x14ac:dyDescent="0.3">
      <c r="B816" s="34"/>
    </row>
    <row r="817" spans="2:2" ht="15.75" customHeight="1" x14ac:dyDescent="0.3">
      <c r="B817" s="34"/>
    </row>
    <row r="818" spans="2:2" ht="15.75" customHeight="1" x14ac:dyDescent="0.3">
      <c r="B818" s="34"/>
    </row>
    <row r="819" spans="2:2" ht="15.75" customHeight="1" x14ac:dyDescent="0.3">
      <c r="B819" s="34"/>
    </row>
    <row r="820" spans="2:2" ht="15.75" customHeight="1" x14ac:dyDescent="0.3">
      <c r="B820" s="34"/>
    </row>
    <row r="821" spans="2:2" ht="15.75" customHeight="1" x14ac:dyDescent="0.3">
      <c r="B821" s="34"/>
    </row>
    <row r="822" spans="2:2" ht="15.75" customHeight="1" x14ac:dyDescent="0.3">
      <c r="B822" s="34"/>
    </row>
    <row r="823" spans="2:2" ht="15.75" customHeight="1" x14ac:dyDescent="0.3">
      <c r="B823" s="34"/>
    </row>
    <row r="824" spans="2:2" ht="15.75" customHeight="1" x14ac:dyDescent="0.3">
      <c r="B824" s="34"/>
    </row>
    <row r="825" spans="2:2" ht="15.75" customHeight="1" x14ac:dyDescent="0.3">
      <c r="B825" s="34"/>
    </row>
    <row r="826" spans="2:2" ht="15.75" customHeight="1" x14ac:dyDescent="0.3">
      <c r="B826" s="34"/>
    </row>
    <row r="827" spans="2:2" ht="15.75" customHeight="1" x14ac:dyDescent="0.3">
      <c r="B827" s="34"/>
    </row>
    <row r="828" spans="2:2" ht="15.75" customHeight="1" x14ac:dyDescent="0.3">
      <c r="B828" s="34"/>
    </row>
    <row r="829" spans="2:2" ht="15.75" customHeight="1" x14ac:dyDescent="0.3">
      <c r="B829" s="34"/>
    </row>
    <row r="830" spans="2:2" ht="15.75" customHeight="1" x14ac:dyDescent="0.3">
      <c r="B830" s="34"/>
    </row>
    <row r="831" spans="2:2" ht="15.75" customHeight="1" x14ac:dyDescent="0.3">
      <c r="B831" s="34"/>
    </row>
    <row r="832" spans="2:2" ht="15.75" customHeight="1" x14ac:dyDescent="0.3">
      <c r="B832" s="34"/>
    </row>
    <row r="833" spans="2:2" ht="15.75" customHeight="1" x14ac:dyDescent="0.3">
      <c r="B833" s="34"/>
    </row>
    <row r="834" spans="2:2" ht="15.75" customHeight="1" x14ac:dyDescent="0.3">
      <c r="B834" s="34"/>
    </row>
    <row r="835" spans="2:2" ht="15.75" customHeight="1" x14ac:dyDescent="0.3">
      <c r="B835" s="34"/>
    </row>
    <row r="836" spans="2:2" ht="15.75" customHeight="1" x14ac:dyDescent="0.3">
      <c r="B836" s="34"/>
    </row>
    <row r="837" spans="2:2" ht="15.75" customHeight="1" x14ac:dyDescent="0.3">
      <c r="B837" s="34"/>
    </row>
    <row r="838" spans="2:2" ht="15.75" customHeight="1" x14ac:dyDescent="0.3">
      <c r="B838" s="34"/>
    </row>
    <row r="839" spans="2:2" ht="15.75" customHeight="1" x14ac:dyDescent="0.3">
      <c r="B839" s="34"/>
    </row>
    <row r="840" spans="2:2" ht="15.75" customHeight="1" x14ac:dyDescent="0.3">
      <c r="B840" s="34"/>
    </row>
    <row r="841" spans="2:2" ht="15.75" customHeight="1" x14ac:dyDescent="0.3">
      <c r="B841" s="34"/>
    </row>
    <row r="842" spans="2:2" ht="15.75" customHeight="1" x14ac:dyDescent="0.3">
      <c r="B842" s="34"/>
    </row>
    <row r="843" spans="2:2" ht="15.75" customHeight="1" x14ac:dyDescent="0.3">
      <c r="B843" s="34"/>
    </row>
    <row r="844" spans="2:2" ht="15.75" customHeight="1" x14ac:dyDescent="0.3">
      <c r="B844" s="34"/>
    </row>
    <row r="845" spans="2:2" ht="15.75" customHeight="1" x14ac:dyDescent="0.3">
      <c r="B845" s="34"/>
    </row>
    <row r="846" spans="2:2" ht="15.75" customHeight="1" x14ac:dyDescent="0.3">
      <c r="B846" s="34"/>
    </row>
    <row r="847" spans="2:2" ht="15.75" customHeight="1" x14ac:dyDescent="0.3">
      <c r="B847" s="34"/>
    </row>
    <row r="848" spans="2:2" ht="15.75" customHeight="1" x14ac:dyDescent="0.3">
      <c r="B848" s="34"/>
    </row>
    <row r="849" spans="2:2" ht="15.75" customHeight="1" x14ac:dyDescent="0.3">
      <c r="B849" s="34"/>
    </row>
    <row r="850" spans="2:2" ht="15.75" customHeight="1" x14ac:dyDescent="0.3">
      <c r="B850" s="34"/>
    </row>
    <row r="851" spans="2:2" ht="15.75" customHeight="1" x14ac:dyDescent="0.3">
      <c r="B851" s="34"/>
    </row>
    <row r="852" spans="2:2" ht="15.75" customHeight="1" x14ac:dyDescent="0.3">
      <c r="B852" s="34"/>
    </row>
    <row r="853" spans="2:2" ht="15.75" customHeight="1" x14ac:dyDescent="0.3">
      <c r="B853" s="34"/>
    </row>
    <row r="854" spans="2:2" ht="15.75" customHeight="1" x14ac:dyDescent="0.3">
      <c r="B854" s="34"/>
    </row>
    <row r="855" spans="2:2" ht="15.75" customHeight="1" x14ac:dyDescent="0.3">
      <c r="B855" s="34"/>
    </row>
    <row r="856" spans="2:2" ht="15.75" customHeight="1" x14ac:dyDescent="0.3">
      <c r="B856" s="34"/>
    </row>
    <row r="857" spans="2:2" ht="15.75" customHeight="1" x14ac:dyDescent="0.3">
      <c r="B857" s="34"/>
    </row>
    <row r="858" spans="2:2" ht="15.75" customHeight="1" x14ac:dyDescent="0.3">
      <c r="B858" s="34"/>
    </row>
    <row r="859" spans="2:2" ht="15.75" customHeight="1" x14ac:dyDescent="0.3">
      <c r="B859" s="34"/>
    </row>
    <row r="860" spans="2:2" ht="15.75" customHeight="1" x14ac:dyDescent="0.3">
      <c r="B860" s="34"/>
    </row>
    <row r="861" spans="2:2" ht="15.75" customHeight="1" x14ac:dyDescent="0.3">
      <c r="B861" s="34"/>
    </row>
    <row r="862" spans="2:2" ht="15.75" customHeight="1" x14ac:dyDescent="0.3">
      <c r="B862" s="34"/>
    </row>
    <row r="863" spans="2:2" ht="15.75" customHeight="1" x14ac:dyDescent="0.3">
      <c r="B863" s="34"/>
    </row>
    <row r="864" spans="2:2" ht="15.75" customHeight="1" x14ac:dyDescent="0.3">
      <c r="B864" s="34"/>
    </row>
    <row r="865" spans="2:2" ht="15.75" customHeight="1" x14ac:dyDescent="0.3">
      <c r="B865" s="34"/>
    </row>
    <row r="866" spans="2:2" ht="15.75" customHeight="1" x14ac:dyDescent="0.3">
      <c r="B866" s="34"/>
    </row>
    <row r="867" spans="2:2" ht="15.75" customHeight="1" x14ac:dyDescent="0.3">
      <c r="B867" s="34"/>
    </row>
    <row r="868" spans="2:2" ht="15.75" customHeight="1" x14ac:dyDescent="0.3">
      <c r="B868" s="34"/>
    </row>
    <row r="869" spans="2:2" ht="15.75" customHeight="1" x14ac:dyDescent="0.3">
      <c r="B869" s="34"/>
    </row>
    <row r="870" spans="2:2" ht="15.75" customHeight="1" x14ac:dyDescent="0.3">
      <c r="B870" s="34"/>
    </row>
    <row r="871" spans="2:2" ht="15.75" customHeight="1" x14ac:dyDescent="0.3">
      <c r="B871" s="34"/>
    </row>
    <row r="872" spans="2:2" ht="15.75" customHeight="1" x14ac:dyDescent="0.3">
      <c r="B872" s="34"/>
    </row>
    <row r="873" spans="2:2" ht="15.75" customHeight="1" x14ac:dyDescent="0.3">
      <c r="B873" s="34"/>
    </row>
    <row r="874" spans="2:2" ht="15.75" customHeight="1" x14ac:dyDescent="0.3">
      <c r="B874" s="34"/>
    </row>
    <row r="875" spans="2:2" ht="15.75" customHeight="1" x14ac:dyDescent="0.3">
      <c r="B875" s="34"/>
    </row>
    <row r="876" spans="2:2" ht="15.75" customHeight="1" x14ac:dyDescent="0.3">
      <c r="B876" s="34"/>
    </row>
    <row r="877" spans="2:2" ht="15.75" customHeight="1" x14ac:dyDescent="0.3">
      <c r="B877" s="34"/>
    </row>
    <row r="878" spans="2:2" ht="15.75" customHeight="1" x14ac:dyDescent="0.3">
      <c r="B878" s="34"/>
    </row>
    <row r="879" spans="2:2" ht="15.75" customHeight="1" x14ac:dyDescent="0.3">
      <c r="B879" s="34"/>
    </row>
    <row r="880" spans="2:2" ht="15.75" customHeight="1" x14ac:dyDescent="0.3">
      <c r="B880" s="34"/>
    </row>
    <row r="881" spans="2:2" ht="15.75" customHeight="1" x14ac:dyDescent="0.3">
      <c r="B881" s="34"/>
    </row>
    <row r="882" spans="2:2" ht="15.75" customHeight="1" x14ac:dyDescent="0.3">
      <c r="B882" s="34"/>
    </row>
    <row r="883" spans="2:2" ht="15.75" customHeight="1" x14ac:dyDescent="0.3">
      <c r="B883" s="34"/>
    </row>
    <row r="884" spans="2:2" ht="15.75" customHeight="1" x14ac:dyDescent="0.3">
      <c r="B884" s="34"/>
    </row>
    <row r="885" spans="2:2" ht="15.75" customHeight="1" x14ac:dyDescent="0.3">
      <c r="B885" s="34"/>
    </row>
    <row r="886" spans="2:2" ht="15.75" customHeight="1" x14ac:dyDescent="0.3">
      <c r="B886" s="34"/>
    </row>
    <row r="887" spans="2:2" ht="15.75" customHeight="1" x14ac:dyDescent="0.3">
      <c r="B887" s="34"/>
    </row>
    <row r="888" spans="2:2" ht="15.75" customHeight="1" x14ac:dyDescent="0.3">
      <c r="B888" s="34"/>
    </row>
    <row r="889" spans="2:2" ht="15.75" customHeight="1" x14ac:dyDescent="0.3">
      <c r="B889" s="34"/>
    </row>
    <row r="890" spans="2:2" ht="15.75" customHeight="1" x14ac:dyDescent="0.3">
      <c r="B890" s="34"/>
    </row>
    <row r="891" spans="2:2" ht="15.75" customHeight="1" x14ac:dyDescent="0.3">
      <c r="B891" s="34"/>
    </row>
    <row r="892" spans="2:2" ht="15.75" customHeight="1" x14ac:dyDescent="0.3">
      <c r="B892" s="34"/>
    </row>
    <row r="893" spans="2:2" ht="15.75" customHeight="1" x14ac:dyDescent="0.3">
      <c r="B893" s="34"/>
    </row>
    <row r="894" spans="2:2" ht="15.75" customHeight="1" x14ac:dyDescent="0.3">
      <c r="B894" s="34"/>
    </row>
    <row r="895" spans="2:2" ht="15.75" customHeight="1" x14ac:dyDescent="0.3">
      <c r="B895" s="34"/>
    </row>
    <row r="896" spans="2:2" ht="15.75" customHeight="1" x14ac:dyDescent="0.3">
      <c r="B896" s="34"/>
    </row>
    <row r="897" spans="2:2" ht="15.75" customHeight="1" x14ac:dyDescent="0.3">
      <c r="B897" s="34"/>
    </row>
    <row r="898" spans="2:2" ht="15.75" customHeight="1" x14ac:dyDescent="0.3">
      <c r="B898" s="34"/>
    </row>
    <row r="899" spans="2:2" ht="15.75" customHeight="1" x14ac:dyDescent="0.3">
      <c r="B899" s="34"/>
    </row>
    <row r="900" spans="2:2" ht="15.75" customHeight="1" x14ac:dyDescent="0.3">
      <c r="B900" s="34"/>
    </row>
    <row r="901" spans="2:2" ht="15.75" customHeight="1" x14ac:dyDescent="0.3">
      <c r="B901" s="34"/>
    </row>
    <row r="902" spans="2:2" ht="15.75" customHeight="1" x14ac:dyDescent="0.3">
      <c r="B902" s="34"/>
    </row>
    <row r="903" spans="2:2" ht="15.75" customHeight="1" x14ac:dyDescent="0.3">
      <c r="B903" s="34"/>
    </row>
    <row r="904" spans="2:2" ht="15.75" customHeight="1" x14ac:dyDescent="0.3">
      <c r="B904" s="34"/>
    </row>
    <row r="905" spans="2:2" ht="15.75" customHeight="1" x14ac:dyDescent="0.3">
      <c r="B905" s="34"/>
    </row>
    <row r="906" spans="2:2" ht="15.75" customHeight="1" x14ac:dyDescent="0.3">
      <c r="B906" s="34"/>
    </row>
    <row r="907" spans="2:2" ht="15.75" customHeight="1" x14ac:dyDescent="0.3">
      <c r="B907" s="34"/>
    </row>
    <row r="908" spans="2:2" ht="15.75" customHeight="1" x14ac:dyDescent="0.3">
      <c r="B908" s="34"/>
    </row>
    <row r="909" spans="2:2" ht="15.75" customHeight="1" x14ac:dyDescent="0.3">
      <c r="B909" s="34"/>
    </row>
    <row r="910" spans="2:2" ht="15.75" customHeight="1" x14ac:dyDescent="0.3">
      <c r="B910" s="34"/>
    </row>
    <row r="911" spans="2:2" ht="15.75" customHeight="1" x14ac:dyDescent="0.3">
      <c r="B911" s="34"/>
    </row>
    <row r="912" spans="2:2" ht="15.75" customHeight="1" x14ac:dyDescent="0.3">
      <c r="B912" s="34"/>
    </row>
    <row r="913" spans="2:2" ht="15.75" customHeight="1" x14ac:dyDescent="0.3">
      <c r="B913" s="34"/>
    </row>
    <row r="914" spans="2:2" ht="15.75" customHeight="1" x14ac:dyDescent="0.3">
      <c r="B914" s="34"/>
    </row>
    <row r="915" spans="2:2" ht="15.75" customHeight="1" x14ac:dyDescent="0.3">
      <c r="B915" s="34"/>
    </row>
    <row r="916" spans="2:2" ht="15.75" customHeight="1" x14ac:dyDescent="0.3">
      <c r="B916" s="34"/>
    </row>
    <row r="917" spans="2:2" ht="15.75" customHeight="1" x14ac:dyDescent="0.3">
      <c r="B917" s="34"/>
    </row>
    <row r="918" spans="2:2" ht="15.75" customHeight="1" x14ac:dyDescent="0.3">
      <c r="B918" s="34"/>
    </row>
    <row r="919" spans="2:2" ht="15.75" customHeight="1" x14ac:dyDescent="0.3">
      <c r="B919" s="34"/>
    </row>
    <row r="920" spans="2:2" ht="15.75" customHeight="1" x14ac:dyDescent="0.3">
      <c r="B920" s="34"/>
    </row>
    <row r="921" spans="2:2" ht="15.75" customHeight="1" x14ac:dyDescent="0.3">
      <c r="B921" s="34"/>
    </row>
    <row r="922" spans="2:2" ht="15.75" customHeight="1" x14ac:dyDescent="0.3">
      <c r="B922" s="34"/>
    </row>
    <row r="923" spans="2:2" ht="15.75" customHeight="1" x14ac:dyDescent="0.3">
      <c r="B923" s="34"/>
    </row>
    <row r="924" spans="2:2" ht="15.75" customHeight="1" x14ac:dyDescent="0.3">
      <c r="B924" s="34"/>
    </row>
    <row r="925" spans="2:2" ht="15.75" customHeight="1" x14ac:dyDescent="0.3">
      <c r="B925" s="34"/>
    </row>
    <row r="926" spans="2:2" ht="15.75" customHeight="1" x14ac:dyDescent="0.3">
      <c r="B926" s="34"/>
    </row>
    <row r="927" spans="2:2" ht="15.75" customHeight="1" x14ac:dyDescent="0.3">
      <c r="B927" s="34"/>
    </row>
    <row r="928" spans="2:2" ht="15.75" customHeight="1" x14ac:dyDescent="0.3">
      <c r="B928" s="34"/>
    </row>
    <row r="929" spans="2:2" ht="15.75" customHeight="1" x14ac:dyDescent="0.3">
      <c r="B929" s="34"/>
    </row>
    <row r="930" spans="2:2" ht="15.75" customHeight="1" x14ac:dyDescent="0.3">
      <c r="B930" s="34"/>
    </row>
    <row r="931" spans="2:2" ht="15.75" customHeight="1" x14ac:dyDescent="0.3">
      <c r="B931" s="34"/>
    </row>
    <row r="932" spans="2:2" ht="15.75" customHeight="1" x14ac:dyDescent="0.3">
      <c r="B932" s="34"/>
    </row>
    <row r="933" spans="2:2" ht="15.75" customHeight="1" x14ac:dyDescent="0.3">
      <c r="B933" s="34"/>
    </row>
    <row r="934" spans="2:2" ht="15.75" customHeight="1" x14ac:dyDescent="0.3">
      <c r="B934" s="34"/>
    </row>
    <row r="935" spans="2:2" ht="15.75" customHeight="1" x14ac:dyDescent="0.3">
      <c r="B935" s="34"/>
    </row>
    <row r="936" spans="2:2" ht="15.75" customHeight="1" x14ac:dyDescent="0.3">
      <c r="B936" s="34"/>
    </row>
    <row r="937" spans="2:2" ht="15.75" customHeight="1" x14ac:dyDescent="0.3">
      <c r="B937" s="34"/>
    </row>
    <row r="938" spans="2:2" ht="15.75" customHeight="1" x14ac:dyDescent="0.3">
      <c r="B938" s="34"/>
    </row>
    <row r="939" spans="2:2" ht="15.75" customHeight="1" x14ac:dyDescent="0.3">
      <c r="B939" s="34"/>
    </row>
    <row r="940" spans="2:2" ht="15.75" customHeight="1" x14ac:dyDescent="0.3">
      <c r="B940" s="34"/>
    </row>
    <row r="941" spans="2:2" ht="15.75" customHeight="1" x14ac:dyDescent="0.3">
      <c r="B941" s="34"/>
    </row>
    <row r="942" spans="2:2" ht="15.75" customHeight="1" x14ac:dyDescent="0.3">
      <c r="B942" s="34"/>
    </row>
    <row r="943" spans="2:2" ht="15.75" customHeight="1" x14ac:dyDescent="0.3">
      <c r="B943" s="34"/>
    </row>
    <row r="944" spans="2:2" ht="15.75" customHeight="1" x14ac:dyDescent="0.3">
      <c r="B944" s="34"/>
    </row>
    <row r="945" spans="2:2" ht="15.75" customHeight="1" x14ac:dyDescent="0.3">
      <c r="B945" s="34"/>
    </row>
    <row r="946" spans="2:2" ht="15.75" customHeight="1" x14ac:dyDescent="0.3">
      <c r="B946" s="34"/>
    </row>
    <row r="947" spans="2:2" ht="15.75" customHeight="1" x14ac:dyDescent="0.3">
      <c r="B947" s="34"/>
    </row>
    <row r="948" spans="2:2" ht="15.75" customHeight="1" x14ac:dyDescent="0.3">
      <c r="B948" s="34"/>
    </row>
    <row r="949" spans="2:2" ht="15.75" customHeight="1" x14ac:dyDescent="0.3">
      <c r="B949" s="34"/>
    </row>
    <row r="950" spans="2:2" ht="15.75" customHeight="1" x14ac:dyDescent="0.3">
      <c r="B950" s="34"/>
    </row>
    <row r="951" spans="2:2" ht="15.75" customHeight="1" x14ac:dyDescent="0.3">
      <c r="B951" s="34"/>
    </row>
    <row r="952" spans="2:2" ht="15.75" customHeight="1" x14ac:dyDescent="0.3">
      <c r="B952" s="34"/>
    </row>
    <row r="953" spans="2:2" ht="15.75" customHeight="1" x14ac:dyDescent="0.3">
      <c r="B953" s="34"/>
    </row>
    <row r="954" spans="2:2" ht="15.75" customHeight="1" x14ac:dyDescent="0.3">
      <c r="B954" s="34"/>
    </row>
    <row r="955" spans="2:2" ht="15.75" customHeight="1" x14ac:dyDescent="0.3">
      <c r="B955" s="34"/>
    </row>
    <row r="956" spans="2:2" ht="15.75" customHeight="1" x14ac:dyDescent="0.3">
      <c r="B956" s="34"/>
    </row>
    <row r="957" spans="2:2" ht="15.75" customHeight="1" x14ac:dyDescent="0.3">
      <c r="B957" s="34"/>
    </row>
    <row r="958" spans="2:2" ht="15.75" customHeight="1" x14ac:dyDescent="0.3">
      <c r="B958" s="34"/>
    </row>
    <row r="959" spans="2:2" ht="15.75" customHeight="1" x14ac:dyDescent="0.3">
      <c r="B959" s="34"/>
    </row>
    <row r="960" spans="2:2" ht="15.75" customHeight="1" x14ac:dyDescent="0.3">
      <c r="B960" s="34"/>
    </row>
    <row r="961" spans="2:2" ht="15.75" customHeight="1" x14ac:dyDescent="0.3">
      <c r="B961" s="34"/>
    </row>
    <row r="962" spans="2:2" ht="15.75" customHeight="1" x14ac:dyDescent="0.3">
      <c r="B962" s="34"/>
    </row>
    <row r="963" spans="2:2" ht="15.75" customHeight="1" x14ac:dyDescent="0.3">
      <c r="B963" s="34"/>
    </row>
    <row r="964" spans="2:2" ht="15.75" customHeight="1" x14ac:dyDescent="0.3">
      <c r="B964" s="34"/>
    </row>
    <row r="965" spans="2:2" ht="15.75" customHeight="1" x14ac:dyDescent="0.3">
      <c r="B965" s="34"/>
    </row>
    <row r="966" spans="2:2" ht="15.75" customHeight="1" x14ac:dyDescent="0.3">
      <c r="B966" s="34"/>
    </row>
    <row r="967" spans="2:2" ht="15.75" customHeight="1" x14ac:dyDescent="0.3">
      <c r="B967" s="34"/>
    </row>
    <row r="968" spans="2:2" ht="15.75" customHeight="1" x14ac:dyDescent="0.3">
      <c r="B968" s="34"/>
    </row>
    <row r="969" spans="2:2" ht="15.75" customHeight="1" x14ac:dyDescent="0.3">
      <c r="B969" s="34"/>
    </row>
    <row r="970" spans="2:2" ht="15.75" customHeight="1" x14ac:dyDescent="0.3">
      <c r="B970" s="34"/>
    </row>
    <row r="971" spans="2:2" ht="15.75" customHeight="1" x14ac:dyDescent="0.3">
      <c r="B971" s="34"/>
    </row>
    <row r="972" spans="2:2" ht="15.75" customHeight="1" x14ac:dyDescent="0.3">
      <c r="B972" s="34"/>
    </row>
    <row r="973" spans="2:2" ht="15.75" customHeight="1" x14ac:dyDescent="0.3">
      <c r="B973" s="34"/>
    </row>
    <row r="974" spans="2:2" ht="15.75" customHeight="1" x14ac:dyDescent="0.3">
      <c r="B974" s="34"/>
    </row>
    <row r="975" spans="2:2" ht="15.75" customHeight="1" x14ac:dyDescent="0.3">
      <c r="B975" s="34"/>
    </row>
    <row r="976" spans="2:2" ht="15.75" customHeight="1" x14ac:dyDescent="0.3">
      <c r="B976" s="34"/>
    </row>
    <row r="977" spans="2:2" ht="15.75" customHeight="1" x14ac:dyDescent="0.3">
      <c r="B977" s="34"/>
    </row>
    <row r="978" spans="2:2" ht="15.75" customHeight="1" x14ac:dyDescent="0.3">
      <c r="B978" s="34"/>
    </row>
    <row r="979" spans="2:2" ht="15.75" customHeight="1" x14ac:dyDescent="0.3">
      <c r="B979" s="34"/>
    </row>
    <row r="980" spans="2:2" ht="15.75" customHeight="1" x14ac:dyDescent="0.3">
      <c r="B980" s="34"/>
    </row>
    <row r="981" spans="2:2" ht="15.75" customHeight="1" x14ac:dyDescent="0.3">
      <c r="B981" s="34"/>
    </row>
    <row r="982" spans="2:2" ht="15.75" customHeight="1" x14ac:dyDescent="0.3">
      <c r="B982" s="34"/>
    </row>
    <row r="983" spans="2:2" ht="15.75" customHeight="1" x14ac:dyDescent="0.3">
      <c r="B983" s="34"/>
    </row>
    <row r="984" spans="2:2" ht="15.75" customHeight="1" x14ac:dyDescent="0.3">
      <c r="B984" s="34"/>
    </row>
    <row r="985" spans="2:2" ht="15.75" customHeight="1" x14ac:dyDescent="0.3">
      <c r="B985" s="34"/>
    </row>
    <row r="986" spans="2:2" ht="15.75" customHeight="1" x14ac:dyDescent="0.3">
      <c r="B986" s="34"/>
    </row>
    <row r="987" spans="2:2" ht="15.75" customHeight="1" x14ac:dyDescent="0.3">
      <c r="B987" s="34"/>
    </row>
    <row r="988" spans="2:2" ht="15.75" customHeight="1" x14ac:dyDescent="0.3">
      <c r="B988" s="34"/>
    </row>
    <row r="989" spans="2:2" ht="15.75" customHeight="1" x14ac:dyDescent="0.3">
      <c r="B989" s="34"/>
    </row>
    <row r="990" spans="2:2" ht="15.75" customHeight="1" x14ac:dyDescent="0.3">
      <c r="B990" s="34"/>
    </row>
    <row r="991" spans="2:2" ht="15.75" customHeight="1" x14ac:dyDescent="0.3">
      <c r="B991" s="34"/>
    </row>
    <row r="992" spans="2:2" ht="15.75" customHeight="1" x14ac:dyDescent="0.3">
      <c r="B992" s="34"/>
    </row>
    <row r="993" spans="2:2" ht="15.75" customHeight="1" x14ac:dyDescent="0.3">
      <c r="B993" s="34"/>
    </row>
    <row r="994" spans="2:2" ht="15.75" customHeight="1" x14ac:dyDescent="0.3">
      <c r="B994" s="34"/>
    </row>
    <row r="995" spans="2:2" ht="15.75" customHeight="1" x14ac:dyDescent="0.3">
      <c r="B995" s="34"/>
    </row>
    <row r="996" spans="2:2" ht="15.75" customHeight="1" x14ac:dyDescent="0.3">
      <c r="B996" s="34"/>
    </row>
    <row r="997" spans="2:2" ht="15.75" customHeight="1" x14ac:dyDescent="0.3"/>
    <row r="998" spans="2:2" ht="15.75" customHeight="1" x14ac:dyDescent="0.3"/>
    <row r="999" spans="2:2" ht="15.75" customHeight="1" x14ac:dyDescent="0.3"/>
  </sheetData>
  <pageMargins left="0.7" right="0.7" top="0.75" bottom="0.75" header="0" footer="0"/>
  <pageSetup orientation="landscape"/>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01"/>
  <sheetViews>
    <sheetView zoomScaleNormal="100" workbookViewId="0">
      <pane ySplit="1" topLeftCell="A129" activePane="bottomLeft" state="frozen"/>
      <selection pane="bottomLeft" activeCell="F134" sqref="F134"/>
    </sheetView>
  </sheetViews>
  <sheetFormatPr defaultColWidth="11.19921875" defaultRowHeight="15" customHeight="1" x14ac:dyDescent="0.3"/>
  <cols>
    <col min="1" max="1" width="21.8984375" customWidth="1"/>
    <col min="2" max="2" width="20" customWidth="1"/>
    <col min="3" max="3" width="13.69921875" customWidth="1"/>
    <col min="4" max="4" width="14.3984375" customWidth="1"/>
    <col min="5" max="5" width="16.796875" style="87" customWidth="1"/>
    <col min="6" max="6" width="11.19921875" customWidth="1"/>
    <col min="7" max="7" width="14.796875" customWidth="1"/>
    <col min="8" max="8" width="13.296875" customWidth="1"/>
    <col min="9" max="9" width="23.69921875" customWidth="1"/>
    <col min="10" max="10" width="20.19921875" customWidth="1"/>
  </cols>
  <sheetData>
    <row r="1" spans="1:26" ht="30" customHeight="1" x14ac:dyDescent="0.3">
      <c r="A1" s="78" t="s">
        <v>153</v>
      </c>
      <c r="B1" s="79" t="s">
        <v>196</v>
      </c>
      <c r="C1" s="79" t="s">
        <v>154</v>
      </c>
      <c r="D1" s="80" t="s">
        <v>155</v>
      </c>
      <c r="E1" s="85" t="s">
        <v>156</v>
      </c>
      <c r="F1" s="81" t="s">
        <v>157</v>
      </c>
      <c r="G1" s="89" t="s">
        <v>158</v>
      </c>
      <c r="H1" s="78" t="s">
        <v>159</v>
      </c>
      <c r="I1" s="82" t="s">
        <v>160</v>
      </c>
      <c r="J1" s="79" t="s">
        <v>161</v>
      </c>
      <c r="K1" s="3"/>
      <c r="L1" s="3"/>
      <c r="M1" s="3"/>
      <c r="N1" s="3"/>
      <c r="O1" s="3"/>
      <c r="P1" s="3"/>
      <c r="Q1" s="3"/>
      <c r="R1" s="3"/>
      <c r="S1" s="3"/>
      <c r="T1" s="3"/>
      <c r="U1" s="3"/>
      <c r="V1" s="3"/>
      <c r="W1" s="3"/>
      <c r="X1" s="3"/>
      <c r="Y1" s="3"/>
      <c r="Z1" s="3"/>
    </row>
    <row r="2" spans="1:26" ht="30" customHeight="1" x14ac:dyDescent="0.3">
      <c r="A2" s="36" t="s">
        <v>24</v>
      </c>
      <c r="B2" s="36" t="s">
        <v>11</v>
      </c>
      <c r="C2" s="37" t="s">
        <v>162</v>
      </c>
      <c r="D2" s="38">
        <v>17</v>
      </c>
      <c r="E2" s="86">
        <f>IF(C2="","",IFERROR(INDEX(Cost!$B$2:$B$4, MATCH("*" &amp; C2 &amp; "*", Cost!$A$2:$A$4, 0)), "Lỗi dữ liệu"))</f>
        <v>1</v>
      </c>
      <c r="F2" s="39" cm="1">
        <f t="array" ref="F2">_xlfn.IFS( C2="Road",LOOKUP(D2,{0,50,150},Cost!$B$8:$B$10), C2="Barge",Cost!$B$11, C2="Rail",Cost!$B$12, TRUE,0 )</f>
        <v>800000</v>
      </c>
      <c r="G2" s="88">
        <v>0</v>
      </c>
      <c r="H2" s="35">
        <v>1</v>
      </c>
      <c r="I2" s="40">
        <f t="array" ref="I2:I291">IF(TRIM(B2:B291)="CẢNG LẠCH HUYỆN",1,0)</f>
        <v>0</v>
      </c>
      <c r="J2" s="20"/>
      <c r="K2" s="41"/>
      <c r="L2" s="41"/>
      <c r="M2" s="41"/>
      <c r="N2" s="41"/>
      <c r="O2" s="41"/>
      <c r="P2" s="41"/>
      <c r="Q2" s="41"/>
      <c r="R2" s="41"/>
      <c r="S2" s="41"/>
      <c r="T2" s="41"/>
      <c r="U2" s="41"/>
      <c r="V2" s="41"/>
      <c r="W2" s="41"/>
      <c r="X2" s="41"/>
      <c r="Y2" s="41"/>
      <c r="Z2" s="41"/>
    </row>
    <row r="3" spans="1:26" ht="30" customHeight="1" x14ac:dyDescent="0.3">
      <c r="A3" s="36" t="s">
        <v>24</v>
      </c>
      <c r="B3" s="36" t="s">
        <v>11</v>
      </c>
      <c r="C3" s="37" t="s">
        <v>152</v>
      </c>
      <c r="D3" s="38">
        <v>25</v>
      </c>
      <c r="E3" s="86">
        <f t="array" ref="E3">IF(C3="","",IFERROR(INDEX(Cost!$B$2:$B$4, MATCH("*" &amp; C3 &amp; "*", Cost!$A$2:$A$4, 0)), "Lỗi dữ liệu"))</f>
        <v>0.4</v>
      </c>
      <c r="F3" s="39" cm="1">
        <f t="array" ref="F3">_xlfn.IFS( C3="Road",LOOKUP(D3,{0,50,150},Cost!$B$8:$B$10), C3="Barge",Cost!$B$11, C3="Rail",Cost!$B$12, TRUE,0 )</f>
        <v>500000</v>
      </c>
      <c r="G3" s="88">
        <v>0</v>
      </c>
      <c r="H3" s="35">
        <v>1</v>
      </c>
      <c r="I3" s="40">
        <v>0</v>
      </c>
      <c r="J3" s="20"/>
      <c r="K3" s="41"/>
      <c r="L3" s="41"/>
      <c r="M3" s="41"/>
      <c r="N3" s="41"/>
      <c r="O3" s="41"/>
      <c r="P3" s="41"/>
      <c r="Q3" s="41"/>
      <c r="R3" s="41"/>
      <c r="S3" s="41"/>
      <c r="T3" s="41"/>
      <c r="U3" s="41"/>
      <c r="V3" s="41"/>
      <c r="W3" s="41"/>
      <c r="X3" s="41"/>
      <c r="Y3" s="41"/>
      <c r="Z3" s="41"/>
    </row>
    <row r="4" spans="1:26" ht="30" customHeight="1" x14ac:dyDescent="0.3">
      <c r="A4" s="36" t="s">
        <v>24</v>
      </c>
      <c r="B4" s="36" t="s">
        <v>17</v>
      </c>
      <c r="C4" s="37" t="s">
        <v>162</v>
      </c>
      <c r="D4" s="38">
        <v>15</v>
      </c>
      <c r="E4" s="86">
        <f t="array" ref="E4">IF(C4="","",IFERROR(INDEX(Cost!$B$2:$B$4, MATCH("*" &amp; C4 &amp; "*", Cost!$A$2:$A$4, 0)), "Lỗi dữ liệu"))</f>
        <v>1</v>
      </c>
      <c r="F4" s="39" cm="1">
        <f t="array" ref="F4">_xlfn.IFS( C4="Road",LOOKUP(D4,{0,50,150},Cost!$B$8:$B$10), C4="Barge",Cost!$B$11, C4="Rail",Cost!$B$12, TRUE,0 )</f>
        <v>800000</v>
      </c>
      <c r="G4" s="88">
        <v>0</v>
      </c>
      <c r="H4" s="35">
        <v>1</v>
      </c>
      <c r="I4" s="40">
        <v>0</v>
      </c>
      <c r="J4" s="20"/>
      <c r="K4" s="3"/>
      <c r="L4" s="3"/>
      <c r="M4" s="3"/>
      <c r="N4" s="3"/>
      <c r="O4" s="3"/>
      <c r="P4" s="3"/>
      <c r="Q4" s="3"/>
      <c r="R4" s="3"/>
      <c r="S4" s="3"/>
      <c r="T4" s="3"/>
      <c r="U4" s="3"/>
      <c r="V4" s="3"/>
      <c r="W4" s="3"/>
      <c r="X4" s="3"/>
      <c r="Y4" s="3"/>
      <c r="Z4" s="3"/>
    </row>
    <row r="5" spans="1:26" ht="30" customHeight="1" x14ac:dyDescent="0.3">
      <c r="A5" s="36" t="s">
        <v>24</v>
      </c>
      <c r="B5" s="36" t="s">
        <v>17</v>
      </c>
      <c r="C5" s="37" t="s">
        <v>152</v>
      </c>
      <c r="D5" s="38">
        <v>20</v>
      </c>
      <c r="E5" s="86">
        <f t="array" ref="E5">IF(C5="","",IFERROR(INDEX(Cost!$B$2:$B$4, MATCH("*" &amp; C5 &amp; "*", Cost!$A$2:$A$4, 0)), "Lỗi dữ liệu"))</f>
        <v>0.4</v>
      </c>
      <c r="F5" s="39" cm="1">
        <f t="array" ref="F5">_xlfn.IFS( C5="Road",LOOKUP(D5,{0,50,150},Cost!$B$8:$B$10), C5="Barge",Cost!$B$11, C5="Rail",Cost!$B$12, TRUE,0 )</f>
        <v>500000</v>
      </c>
      <c r="G5" s="88">
        <v>0</v>
      </c>
      <c r="H5" s="35">
        <v>1</v>
      </c>
      <c r="I5" s="40">
        <v>0</v>
      </c>
      <c r="J5" s="20"/>
      <c r="K5" s="3"/>
      <c r="L5" s="3"/>
      <c r="M5" s="3"/>
      <c r="N5" s="3"/>
      <c r="O5" s="3"/>
      <c r="P5" s="3"/>
      <c r="Q5" s="3"/>
      <c r="R5" s="3"/>
      <c r="S5" s="3"/>
      <c r="T5" s="3"/>
      <c r="U5" s="3"/>
      <c r="V5" s="3"/>
      <c r="W5" s="3"/>
      <c r="X5" s="3"/>
      <c r="Y5" s="3"/>
      <c r="Z5" s="3"/>
    </row>
    <row r="6" spans="1:26" ht="30" customHeight="1" x14ac:dyDescent="0.3">
      <c r="A6" s="36" t="s">
        <v>24</v>
      </c>
      <c r="B6" s="36" t="s">
        <v>29</v>
      </c>
      <c r="C6" s="20" t="s">
        <v>162</v>
      </c>
      <c r="D6" s="38">
        <v>25</v>
      </c>
      <c r="E6" s="86">
        <f t="array" ref="E6">IF(C6="","",IFERROR(INDEX(Cost!$B$2:$B$4, MATCH("*" &amp; C6 &amp; "*", Cost!$A$2:$A$4, 0)), "Lỗi dữ liệu"))</f>
        <v>1</v>
      </c>
      <c r="F6" s="39" cm="1">
        <f t="array" ref="F6">_xlfn.IFS( C6="Road",LOOKUP(D6,{0,50,150},Cost!$B$8:$B$10), C6="Barge",Cost!$B$11, C6="Rail",Cost!$B$12, TRUE,0 )</f>
        <v>800000</v>
      </c>
      <c r="G6" s="88">
        <v>0</v>
      </c>
      <c r="H6" s="35">
        <v>1</v>
      </c>
      <c r="I6" s="40">
        <v>0</v>
      </c>
      <c r="J6" s="20"/>
      <c r="K6" s="41"/>
      <c r="L6" s="41"/>
      <c r="M6" s="41"/>
      <c r="N6" s="41"/>
      <c r="O6" s="41"/>
      <c r="P6" s="41"/>
      <c r="Q6" s="41"/>
      <c r="R6" s="41"/>
      <c r="S6" s="41"/>
      <c r="T6" s="41"/>
      <c r="U6" s="41"/>
      <c r="V6" s="41"/>
      <c r="W6" s="41"/>
      <c r="X6" s="41"/>
      <c r="Y6" s="41"/>
      <c r="Z6" s="41"/>
    </row>
    <row r="7" spans="1:26" ht="30" customHeight="1" x14ac:dyDescent="0.3">
      <c r="A7" s="36" t="s">
        <v>24</v>
      </c>
      <c r="B7" s="36" t="s">
        <v>29</v>
      </c>
      <c r="C7" s="37" t="s">
        <v>152</v>
      </c>
      <c r="D7" s="38">
        <v>28</v>
      </c>
      <c r="E7" s="86">
        <f t="array" ref="E7">IF(C7="","",IFERROR(INDEX(Cost!$B$2:$B$4, MATCH("*" &amp; C7 &amp; "*", Cost!$A$2:$A$4, 0)), "Lỗi dữ liệu"))</f>
        <v>0.4</v>
      </c>
      <c r="F7" s="39" cm="1">
        <f t="array" ref="F7">_xlfn.IFS( C7="Road",LOOKUP(D7,{0,50,150},Cost!$B$8:$B$10), C7="Barge",Cost!$B$11, C7="Rail",Cost!$B$12, TRUE,0 )</f>
        <v>500000</v>
      </c>
      <c r="G7" s="88">
        <v>0</v>
      </c>
      <c r="H7" s="35">
        <v>1</v>
      </c>
      <c r="I7" s="40">
        <v>0</v>
      </c>
      <c r="J7" s="20"/>
      <c r="K7" s="41"/>
      <c r="L7" s="41"/>
      <c r="M7" s="41"/>
      <c r="N7" s="41"/>
      <c r="O7" s="41"/>
      <c r="P7" s="41"/>
      <c r="Q7" s="41"/>
      <c r="R7" s="41"/>
      <c r="S7" s="41"/>
      <c r="T7" s="41"/>
      <c r="U7" s="41"/>
      <c r="V7" s="41"/>
      <c r="W7" s="41"/>
      <c r="X7" s="41"/>
      <c r="Y7" s="41"/>
      <c r="Z7" s="41"/>
    </row>
    <row r="8" spans="1:26" ht="30" customHeight="1" x14ac:dyDescent="0.3">
      <c r="A8" s="36" t="s">
        <v>24</v>
      </c>
      <c r="B8" s="36" t="s">
        <v>49</v>
      </c>
      <c r="C8" s="20" t="s">
        <v>162</v>
      </c>
      <c r="D8" s="38">
        <v>115</v>
      </c>
      <c r="E8" s="86">
        <f t="array" ref="E8">IF(C8="","",IFERROR(INDEX(Cost!$B$2:$B$4, MATCH("*" &amp; C8 &amp; "*", Cost!$A$2:$A$4, 0)), "Lỗi dữ liệu"))</f>
        <v>1</v>
      </c>
      <c r="F8" s="39" cm="1">
        <f t="array" ref="F8">_xlfn.IFS( C8="Road",LOOKUP(D8,{0,50,150},Cost!$B$8:$B$10), C8="Barge",Cost!$B$11, C8="Rail",Cost!$B$12, TRUE,0 )</f>
        <v>500000</v>
      </c>
      <c r="G8" s="88">
        <v>0</v>
      </c>
      <c r="H8" s="35">
        <v>1</v>
      </c>
      <c r="I8" s="42">
        <v>0</v>
      </c>
      <c r="J8" s="20"/>
      <c r="K8" s="3"/>
      <c r="L8" s="3"/>
      <c r="M8" s="3"/>
      <c r="N8" s="3"/>
      <c r="O8" s="3"/>
      <c r="P8" s="3"/>
      <c r="Q8" s="3"/>
      <c r="R8" s="3"/>
      <c r="S8" s="3"/>
      <c r="T8" s="3"/>
      <c r="U8" s="3"/>
      <c r="V8" s="3"/>
      <c r="W8" s="3"/>
      <c r="X8" s="3"/>
      <c r="Y8" s="3"/>
      <c r="Z8" s="3"/>
    </row>
    <row r="9" spans="1:26" ht="30" customHeight="1" x14ac:dyDescent="0.3">
      <c r="A9" s="36" t="s">
        <v>24</v>
      </c>
      <c r="B9" s="36" t="s">
        <v>49</v>
      </c>
      <c r="C9" s="20" t="s">
        <v>152</v>
      </c>
      <c r="D9" s="38">
        <v>130</v>
      </c>
      <c r="E9" s="86">
        <f t="array" ref="E9">IF(C9="","",IFERROR(INDEX(Cost!$B$2:$B$4, MATCH("*" &amp; C9 &amp; "*", Cost!$A$2:$A$4, 0)), "Lỗi dữ liệu"))</f>
        <v>0.4</v>
      </c>
      <c r="F9" s="39" cm="1">
        <f t="array" ref="F9">_xlfn.IFS( C9="Road",LOOKUP(D9,{0,50,150},Cost!$B$8:$B$10), C9="Barge",Cost!$B$11, C9="Rail",Cost!$B$12, TRUE,0 )</f>
        <v>500000</v>
      </c>
      <c r="G9" s="88">
        <v>0</v>
      </c>
      <c r="H9" s="35">
        <v>1</v>
      </c>
      <c r="I9" s="40">
        <v>0</v>
      </c>
      <c r="J9" s="20"/>
      <c r="K9" s="3"/>
      <c r="L9" s="3"/>
      <c r="M9" s="3"/>
      <c r="N9" s="3"/>
      <c r="O9" s="3"/>
      <c r="P9" s="3"/>
      <c r="Q9" s="3"/>
      <c r="R9" s="3"/>
      <c r="S9" s="3"/>
      <c r="T9" s="3"/>
      <c r="U9" s="3"/>
      <c r="V9" s="3"/>
      <c r="W9" s="3"/>
      <c r="X9" s="3"/>
      <c r="Y9" s="3"/>
      <c r="Z9" s="3"/>
    </row>
    <row r="10" spans="1:26" ht="30" customHeight="1" x14ac:dyDescent="0.3">
      <c r="A10" s="36" t="s">
        <v>24</v>
      </c>
      <c r="B10" s="36" t="s">
        <v>49</v>
      </c>
      <c r="C10" s="20" t="s">
        <v>139</v>
      </c>
      <c r="D10" s="38">
        <v>120</v>
      </c>
      <c r="E10" s="86">
        <f t="array" ref="E10">IF(C10="","",IFERROR(INDEX(Cost!$B$2:$B$4, MATCH("*" &amp; C10 &amp; "*", Cost!$A$2:$A$4, 0)), "Lỗi dữ liệu"))</f>
        <v>0.25</v>
      </c>
      <c r="F10" s="39" cm="1">
        <f t="array" ref="F10">_xlfn.IFS( C10="Road",LOOKUP(D10,{0,50,150},Cost!$B$8:$B$10), C10="Barge",Cost!$B$11, C10="Rail",Cost!$B$12, TRUE,0 )</f>
        <v>1000000</v>
      </c>
      <c r="G10" s="88">
        <f>IF(C10="","",IFERROR(INDEX(Cost!$B$16:$B$18, MATCH("*" &amp; C10 &amp; "*", Cost!$A$2:$A$4, 0)), "Lỗi dữ liệu"))</f>
        <v>80000000</v>
      </c>
      <c r="H10" s="35">
        <v>1</v>
      </c>
      <c r="I10" s="40">
        <v>0</v>
      </c>
      <c r="J10" s="20"/>
      <c r="K10" s="3"/>
      <c r="L10" s="3"/>
      <c r="M10" s="3"/>
      <c r="N10" s="3"/>
      <c r="O10" s="3"/>
      <c r="P10" s="3"/>
      <c r="Q10" s="3"/>
      <c r="R10" s="3"/>
      <c r="S10" s="3"/>
      <c r="T10" s="3"/>
      <c r="U10" s="3"/>
      <c r="V10" s="3"/>
      <c r="W10" s="3"/>
      <c r="X10" s="3"/>
      <c r="Y10" s="3"/>
      <c r="Z10" s="3"/>
    </row>
    <row r="11" spans="1:26" ht="30" customHeight="1" x14ac:dyDescent="0.3">
      <c r="A11" s="36" t="s">
        <v>24</v>
      </c>
      <c r="B11" s="36" t="s">
        <v>58</v>
      </c>
      <c r="C11" s="37" t="s">
        <v>162</v>
      </c>
      <c r="D11" s="38">
        <v>130</v>
      </c>
      <c r="E11" s="86">
        <f t="array" ref="E11">IF(C11="","",IFERROR(INDEX(Cost!$B$2:$B$4, MATCH("*" &amp; C11 &amp; "*", Cost!$A$2:$A$4, 0)), "Lỗi dữ liệu"))</f>
        <v>1</v>
      </c>
      <c r="F11" s="39" cm="1">
        <f t="array" ref="F11">_xlfn.IFS( C11="Road",LOOKUP(D11,{0,50,150},Cost!$B$8:$B$10), C11="Barge",Cost!$B$11, C11="Rail",Cost!$B$12, TRUE,0 )</f>
        <v>500000</v>
      </c>
      <c r="G11" s="88">
        <v>0</v>
      </c>
      <c r="H11" s="35">
        <v>1</v>
      </c>
      <c r="I11" s="40">
        <v>0</v>
      </c>
      <c r="J11" s="20"/>
      <c r="K11" s="41"/>
      <c r="L11" s="41"/>
      <c r="M11" s="41"/>
      <c r="N11" s="41"/>
      <c r="O11" s="41"/>
      <c r="P11" s="41"/>
      <c r="Q11" s="41"/>
      <c r="R11" s="41"/>
      <c r="S11" s="41"/>
      <c r="T11" s="41"/>
      <c r="U11" s="41"/>
      <c r="V11" s="41"/>
      <c r="W11" s="41"/>
      <c r="X11" s="41"/>
      <c r="Y11" s="41"/>
      <c r="Z11" s="41"/>
    </row>
    <row r="12" spans="1:26" ht="30" customHeight="1" x14ac:dyDescent="0.3">
      <c r="A12" s="36" t="s">
        <v>24</v>
      </c>
      <c r="B12" s="36" t="s">
        <v>58</v>
      </c>
      <c r="C12" s="20" t="s">
        <v>152</v>
      </c>
      <c r="D12" s="38">
        <v>145</v>
      </c>
      <c r="E12" s="86">
        <f t="array" ref="E12">IF(C12="","",IFERROR(INDEX(Cost!$B$2:$B$4, MATCH("*" &amp; C12 &amp; "*", Cost!$A$2:$A$4, 0)), "Lỗi dữ liệu"))</f>
        <v>0.4</v>
      </c>
      <c r="F12" s="39" cm="1">
        <f t="array" ref="F12">_xlfn.IFS( C12="Road",LOOKUP(D12,{0,50,150},Cost!$B$8:$B$10), C12="Barge",Cost!$B$11, C12="Rail",Cost!$B$12, TRUE,0 )</f>
        <v>500000</v>
      </c>
      <c r="G12" s="88">
        <f>IF(C12="","",IFERROR(INDEX(Cost!$B$16:$B$18, MATCH("*" &amp; C12 &amp; "*", Cost!$A$2:$A$4, 0)), "Lỗi dữ liệu"))</f>
        <v>20000000</v>
      </c>
      <c r="H12" s="35">
        <v>1</v>
      </c>
      <c r="I12" s="40">
        <v>0</v>
      </c>
      <c r="J12" s="20"/>
      <c r="K12" s="41"/>
      <c r="L12" s="41"/>
      <c r="M12" s="41"/>
      <c r="N12" s="41"/>
      <c r="O12" s="41"/>
      <c r="P12" s="41"/>
      <c r="Q12" s="41"/>
      <c r="R12" s="41"/>
      <c r="S12" s="41"/>
      <c r="T12" s="41"/>
      <c r="U12" s="41"/>
      <c r="V12" s="41"/>
      <c r="W12" s="41"/>
      <c r="X12" s="41"/>
      <c r="Y12" s="41"/>
      <c r="Z12" s="41"/>
    </row>
    <row r="13" spans="1:26" ht="30" customHeight="1" x14ac:dyDescent="0.3">
      <c r="A13" s="36" t="s">
        <v>24</v>
      </c>
      <c r="B13" s="36" t="s">
        <v>58</v>
      </c>
      <c r="C13" s="37" t="s">
        <v>139</v>
      </c>
      <c r="D13" s="38">
        <v>135</v>
      </c>
      <c r="E13" s="86">
        <f t="array" ref="E13">IF(C13="","",IFERROR(INDEX(Cost!$B$2:$B$4, MATCH("*" &amp; C13 &amp; "*", Cost!$A$2:$A$4, 0)), "Lỗi dữ liệu"))</f>
        <v>0.25</v>
      </c>
      <c r="F13" s="39" cm="1">
        <f t="array" ref="F13">_xlfn.IFS( C13="Road",LOOKUP(D13,{0,50,150},Cost!$B$8:$B$10), C13="Barge",Cost!$B$11, C13="Rail",Cost!$B$12, TRUE,0 )</f>
        <v>1000000</v>
      </c>
      <c r="G13" s="88">
        <v>5000000</v>
      </c>
      <c r="H13" s="35">
        <v>1</v>
      </c>
      <c r="I13" s="40">
        <v>0</v>
      </c>
      <c r="J13" s="20"/>
      <c r="K13" s="41"/>
      <c r="L13" s="41"/>
      <c r="M13" s="41"/>
      <c r="N13" s="41"/>
      <c r="O13" s="41"/>
      <c r="P13" s="41"/>
      <c r="Q13" s="41"/>
      <c r="R13" s="41"/>
      <c r="S13" s="41"/>
      <c r="T13" s="41"/>
      <c r="U13" s="41"/>
      <c r="V13" s="41"/>
      <c r="W13" s="41"/>
      <c r="X13" s="41"/>
      <c r="Y13" s="41"/>
      <c r="Z13" s="41"/>
    </row>
    <row r="14" spans="1:26" ht="30" customHeight="1" x14ac:dyDescent="0.3">
      <c r="A14" s="36" t="s">
        <v>24</v>
      </c>
      <c r="B14" s="36" t="s">
        <v>63</v>
      </c>
      <c r="C14" s="20" t="s">
        <v>162</v>
      </c>
      <c r="D14" s="38">
        <v>115</v>
      </c>
      <c r="E14" s="86">
        <f t="array" ref="E14">IF(C14="","",IFERROR(INDEX(Cost!$B$2:$B$4, MATCH("*" &amp; C14 &amp; "*", Cost!$A$2:$A$4, 0)), "Lỗi dữ liệu"))</f>
        <v>1</v>
      </c>
      <c r="F14" s="39" cm="1">
        <f t="array" ref="F14">_xlfn.IFS( C14="Road",LOOKUP(D14,{0,50,150},Cost!$B$8:$B$10), C14="Barge",Cost!$B$11, C14="Rail",Cost!$B$12, TRUE,0 )</f>
        <v>500000</v>
      </c>
      <c r="G14" s="88">
        <v>0</v>
      </c>
      <c r="H14" s="35">
        <v>1</v>
      </c>
      <c r="I14" s="40">
        <v>0</v>
      </c>
      <c r="J14" s="20"/>
      <c r="K14" s="3"/>
      <c r="L14" s="3"/>
      <c r="M14" s="3"/>
      <c r="N14" s="3"/>
      <c r="O14" s="3"/>
      <c r="P14" s="3"/>
      <c r="Q14" s="3"/>
      <c r="R14" s="3"/>
      <c r="S14" s="3"/>
      <c r="T14" s="3"/>
      <c r="U14" s="3"/>
      <c r="V14" s="3"/>
      <c r="W14" s="3"/>
      <c r="X14" s="3"/>
      <c r="Y14" s="3"/>
      <c r="Z14" s="3"/>
    </row>
    <row r="15" spans="1:26" ht="30" customHeight="1" x14ac:dyDescent="0.3">
      <c r="A15" s="36" t="s">
        <v>24</v>
      </c>
      <c r="B15" s="36" t="s">
        <v>63</v>
      </c>
      <c r="C15" s="37" t="s">
        <v>152</v>
      </c>
      <c r="D15" s="38">
        <v>130</v>
      </c>
      <c r="E15" s="86">
        <f t="array" ref="E15">IF(C15="","",IFERROR(INDEX(Cost!$B$2:$B$4, MATCH("*" &amp; C15 &amp; "*", Cost!$A$2:$A$4, 0)), "Lỗi dữ liệu"))</f>
        <v>0.4</v>
      </c>
      <c r="F15" s="39" cm="1">
        <f t="array" ref="F15">_xlfn.IFS( C15="Road",LOOKUP(D15,{0,50,150},Cost!$B$8:$B$10), C15="Barge",Cost!$B$11, C15="Rail",Cost!$B$12, TRUE,0 )</f>
        <v>500000</v>
      </c>
      <c r="G15" s="88">
        <f>IF(C15="","",IFERROR(INDEX(Cost!$B$16:$B$18, MATCH("*" &amp; C15 &amp; "*", Cost!$A$2:$A$4, 0)), "Lỗi dữ liệu"))</f>
        <v>20000000</v>
      </c>
      <c r="H15" s="35">
        <v>1</v>
      </c>
      <c r="I15" s="40">
        <v>0</v>
      </c>
      <c r="J15" s="20"/>
      <c r="K15" s="3"/>
      <c r="L15" s="3"/>
      <c r="M15" s="3"/>
      <c r="N15" s="3"/>
      <c r="O15" s="3"/>
      <c r="P15" s="3"/>
      <c r="Q15" s="3"/>
      <c r="R15" s="3"/>
      <c r="S15" s="3"/>
      <c r="T15" s="3"/>
      <c r="U15" s="3"/>
      <c r="V15" s="3"/>
      <c r="W15" s="3"/>
      <c r="X15" s="3"/>
      <c r="Y15" s="3"/>
      <c r="Z15" s="3"/>
    </row>
    <row r="16" spans="1:26" ht="30" customHeight="1" x14ac:dyDescent="0.3">
      <c r="A16" s="36" t="s">
        <v>24</v>
      </c>
      <c r="B16" s="36" t="s">
        <v>63</v>
      </c>
      <c r="C16" s="37" t="s">
        <v>139</v>
      </c>
      <c r="D16" s="38">
        <v>120</v>
      </c>
      <c r="E16" s="86">
        <f t="array" ref="E16">IF(C16="","",IFERROR(INDEX(Cost!$B$2:$B$4, MATCH("*" &amp; C16 &amp; "*", Cost!$A$2:$A$4, 0)), "Lỗi dữ liệu"))</f>
        <v>0.25</v>
      </c>
      <c r="F16" s="39" cm="1">
        <f t="array" ref="F16">_xlfn.IFS( C16="Road",LOOKUP(D16,{0,50,150},Cost!$B$8:$B$10), C16="Barge",Cost!$B$11, C16="Rail",Cost!$B$12, TRUE,0 )</f>
        <v>1000000</v>
      </c>
      <c r="G16" s="88">
        <f>IF(C16="","",IFERROR(INDEX(Cost!$B$16:$B$18, MATCH("*" &amp; C16 &amp; "*", Cost!$A$2:$A$4, 0)), "Lỗi dữ liệu"))</f>
        <v>80000000</v>
      </c>
      <c r="H16" s="35">
        <v>1</v>
      </c>
      <c r="I16" s="40">
        <v>0</v>
      </c>
      <c r="J16" s="20"/>
      <c r="K16" s="3"/>
      <c r="L16" s="3"/>
      <c r="M16" s="3"/>
      <c r="N16" s="3"/>
      <c r="O16" s="3"/>
      <c r="P16" s="3"/>
      <c r="Q16" s="3"/>
      <c r="R16" s="3"/>
      <c r="S16" s="3"/>
      <c r="T16" s="3"/>
      <c r="U16" s="3"/>
      <c r="V16" s="3"/>
      <c r="W16" s="3"/>
      <c r="X16" s="3"/>
      <c r="Y16" s="3"/>
      <c r="Z16" s="3"/>
    </row>
    <row r="17" spans="1:26" ht="30" customHeight="1" x14ac:dyDescent="0.3">
      <c r="A17" s="36" t="s">
        <v>24</v>
      </c>
      <c r="B17" s="36" t="s">
        <v>66</v>
      </c>
      <c r="C17" s="20" t="s">
        <v>162</v>
      </c>
      <c r="D17" s="38">
        <v>130</v>
      </c>
      <c r="E17" s="86">
        <f t="array" ref="E17">IF(C17="","",IFERROR(INDEX(Cost!$B$2:$B$4, MATCH("*" &amp; C17 &amp; "*", Cost!$A$2:$A$4, 0)), "Lỗi dữ liệu"))</f>
        <v>1</v>
      </c>
      <c r="F17" s="39" cm="1">
        <f t="array" ref="F17">_xlfn.IFS( C17="Road",LOOKUP(D17,{0,50,150},Cost!$B$8:$B$10), C17="Barge",Cost!$B$11, C17="Rail",Cost!$B$12, TRUE,0 )</f>
        <v>500000</v>
      </c>
      <c r="G17" s="88">
        <v>0</v>
      </c>
      <c r="H17" s="35">
        <v>1</v>
      </c>
      <c r="I17" s="40">
        <v>0</v>
      </c>
      <c r="J17" s="20"/>
      <c r="K17" s="41"/>
      <c r="L17" s="41"/>
      <c r="M17" s="41"/>
      <c r="N17" s="41"/>
      <c r="O17" s="41"/>
      <c r="P17" s="41"/>
      <c r="Q17" s="41"/>
      <c r="R17" s="41"/>
      <c r="S17" s="41"/>
      <c r="T17" s="41"/>
      <c r="U17" s="41"/>
      <c r="V17" s="41"/>
      <c r="W17" s="41"/>
      <c r="X17" s="41"/>
      <c r="Y17" s="41"/>
      <c r="Z17" s="41"/>
    </row>
    <row r="18" spans="1:26" ht="30" customHeight="1" x14ac:dyDescent="0.3">
      <c r="A18" s="36" t="s">
        <v>24</v>
      </c>
      <c r="B18" s="36" t="s">
        <v>66</v>
      </c>
      <c r="C18" s="20" t="s">
        <v>152</v>
      </c>
      <c r="D18" s="38">
        <v>145</v>
      </c>
      <c r="E18" s="86">
        <f t="array" ref="E18">IF(C18="","",IFERROR(INDEX(Cost!$B$2:$B$4, MATCH("*" &amp; C18 &amp; "*", Cost!$A$2:$A$4, 0)), "Lỗi dữ liệu"))</f>
        <v>0.4</v>
      </c>
      <c r="F18" s="39" cm="1">
        <f t="array" ref="F18">_xlfn.IFS( C18="Road",LOOKUP(D18,{0,50,150},Cost!$B$8:$B$10), C18="Barge",Cost!$B$11, C18="Rail",Cost!$B$12, TRUE,0 )</f>
        <v>500000</v>
      </c>
      <c r="G18" s="88">
        <f>IF(C18="","",IFERROR(INDEX(Cost!$B$16:$B$18, MATCH("*" &amp; C18 &amp; "*", Cost!$A$2:$A$4, 0)), "Lỗi dữ liệu"))</f>
        <v>20000000</v>
      </c>
      <c r="H18" s="35">
        <v>1</v>
      </c>
      <c r="I18" s="40">
        <v>0</v>
      </c>
      <c r="J18" s="20"/>
      <c r="K18" s="41"/>
      <c r="L18" s="41"/>
      <c r="M18" s="41"/>
      <c r="N18" s="41"/>
      <c r="O18" s="41"/>
      <c r="P18" s="41"/>
      <c r="Q18" s="41"/>
      <c r="R18" s="41"/>
      <c r="S18" s="41"/>
      <c r="T18" s="41"/>
      <c r="U18" s="41"/>
      <c r="V18" s="41"/>
      <c r="W18" s="41"/>
      <c r="X18" s="41"/>
      <c r="Y18" s="41"/>
      <c r="Z18" s="41"/>
    </row>
    <row r="19" spans="1:26" ht="30" customHeight="1" x14ac:dyDescent="0.3">
      <c r="A19" s="36" t="s">
        <v>24</v>
      </c>
      <c r="B19" s="36" t="s">
        <v>66</v>
      </c>
      <c r="C19" s="20" t="s">
        <v>139</v>
      </c>
      <c r="D19" s="38">
        <v>130</v>
      </c>
      <c r="E19" s="86">
        <f t="array" ref="E19">IF(C19="","",IFERROR(INDEX(Cost!$B$2:$B$4, MATCH("*" &amp; C19 &amp; "*", Cost!$A$2:$A$4, 0)), "Lỗi dữ liệu"))</f>
        <v>0.25</v>
      </c>
      <c r="F19" s="39" cm="1">
        <f t="array" ref="F19">_xlfn.IFS( C19="Road",LOOKUP(D19,{0,50,150},Cost!$B$8:$B$10), C19="Barge",Cost!$B$11, C19="Rail",Cost!$B$12, TRUE,0 )</f>
        <v>1000000</v>
      </c>
      <c r="G19" s="88">
        <f>IF(C19="","",IFERROR(INDEX(Cost!$B$16:$B$18, MATCH("*" &amp; C19 &amp; "*", Cost!$A$2:$A$4, 0)), "Lỗi dữ liệu"))</f>
        <v>80000000</v>
      </c>
      <c r="H19" s="35">
        <v>1</v>
      </c>
      <c r="I19" s="40">
        <v>0</v>
      </c>
      <c r="J19" s="20"/>
      <c r="K19" s="41"/>
      <c r="L19" s="41"/>
      <c r="M19" s="41"/>
      <c r="N19" s="41"/>
      <c r="O19" s="41"/>
      <c r="P19" s="41"/>
      <c r="Q19" s="41"/>
      <c r="R19" s="41"/>
      <c r="S19" s="41"/>
      <c r="T19" s="41"/>
      <c r="U19" s="41"/>
      <c r="V19" s="41"/>
      <c r="W19" s="41"/>
      <c r="X19" s="41"/>
      <c r="Y19" s="41"/>
      <c r="Z19" s="41"/>
    </row>
    <row r="20" spans="1:26" ht="30" customHeight="1" x14ac:dyDescent="0.3">
      <c r="A20" s="36" t="s">
        <v>24</v>
      </c>
      <c r="B20" s="36" t="s">
        <v>82</v>
      </c>
      <c r="C20" s="20" t="s">
        <v>162</v>
      </c>
      <c r="D20" s="38">
        <v>115</v>
      </c>
      <c r="E20" s="86">
        <f t="array" ref="E20">IF(C20="","",IFERROR(INDEX(Cost!$B$2:$B$4, MATCH("*" &amp; C20 &amp; "*", Cost!$A$2:$A$4, 0)), "Lỗi dữ liệu"))</f>
        <v>1</v>
      </c>
      <c r="F20" s="39" cm="1">
        <f t="array" ref="F20">_xlfn.IFS( C20="Road",LOOKUP(D20,{0,50,150},Cost!$B$8:$B$10), C20="Barge",Cost!$B$11, C20="Rail",Cost!$B$12, TRUE,0 )</f>
        <v>500000</v>
      </c>
      <c r="G20" s="88">
        <v>0</v>
      </c>
      <c r="H20" s="35">
        <v>1</v>
      </c>
      <c r="I20" s="40">
        <v>0</v>
      </c>
      <c r="J20" s="20"/>
      <c r="K20" s="3"/>
      <c r="L20" s="3"/>
      <c r="M20" s="3"/>
      <c r="N20" s="3"/>
      <c r="O20" s="3"/>
      <c r="P20" s="3"/>
      <c r="Q20" s="3"/>
      <c r="R20" s="3"/>
      <c r="S20" s="3"/>
      <c r="T20" s="3"/>
      <c r="U20" s="3"/>
      <c r="V20" s="3"/>
      <c r="W20" s="3"/>
      <c r="X20" s="3"/>
      <c r="Y20" s="3"/>
      <c r="Z20" s="3"/>
    </row>
    <row r="21" spans="1:26" ht="30" customHeight="1" x14ac:dyDescent="0.3">
      <c r="A21" s="36" t="s">
        <v>24</v>
      </c>
      <c r="B21" s="36" t="s">
        <v>82</v>
      </c>
      <c r="C21" s="20" t="s">
        <v>139</v>
      </c>
      <c r="D21" s="38">
        <v>120</v>
      </c>
      <c r="E21" s="86">
        <f t="array" ref="E21">IF(C21="","",IFERROR(INDEX(Cost!$B$2:$B$4, MATCH("*" &amp; C21 &amp; "*", Cost!$A$2:$A$4, 0)), "Lỗi dữ liệu"))</f>
        <v>0.25</v>
      </c>
      <c r="F21" s="39" cm="1">
        <f t="array" ref="F21">_xlfn.IFS( C21="Road",LOOKUP(D21,{0,50,150},Cost!$B$8:$B$10), C21="Barge",Cost!$B$11, C21="Rail",Cost!$B$12, TRUE,0 )</f>
        <v>1000000</v>
      </c>
      <c r="G21" s="88">
        <f>IF(C21="","",IFERROR(INDEX(Cost!$B$16:$B$18, MATCH("*" &amp; C21 &amp; "*", Cost!$A$2:$A$4, 0)), "Lỗi dữ liệu"))</f>
        <v>80000000</v>
      </c>
      <c r="H21" s="35">
        <v>1</v>
      </c>
      <c r="I21" s="40">
        <v>0</v>
      </c>
      <c r="J21" s="20"/>
      <c r="K21" s="3"/>
      <c r="L21" s="3"/>
      <c r="M21" s="3"/>
      <c r="N21" s="3"/>
      <c r="O21" s="3"/>
      <c r="P21" s="3"/>
      <c r="Q21" s="3"/>
      <c r="R21" s="3"/>
      <c r="S21" s="3"/>
      <c r="T21" s="3"/>
      <c r="U21" s="3"/>
      <c r="V21" s="3"/>
      <c r="W21" s="3"/>
      <c r="X21" s="3"/>
      <c r="Y21" s="3"/>
      <c r="Z21" s="3"/>
    </row>
    <row r="22" spans="1:26" ht="30" customHeight="1" x14ac:dyDescent="0.3">
      <c r="A22" s="36" t="s">
        <v>24</v>
      </c>
      <c r="B22" s="36" t="s">
        <v>102</v>
      </c>
      <c r="C22" s="20" t="s">
        <v>162</v>
      </c>
      <c r="D22" s="38">
        <v>110</v>
      </c>
      <c r="E22" s="86">
        <f t="array" ref="E22">IF(C22="","",IFERROR(INDEX(Cost!$B$2:$B$4, MATCH("*" &amp; C22 &amp; "*", Cost!$A$2:$A$4, 0)), "Lỗi dữ liệu"))</f>
        <v>1</v>
      </c>
      <c r="F22" s="39" cm="1">
        <f t="array" ref="F22">_xlfn.IFS( C22="Road",LOOKUP(D22,{0,50,150},Cost!$B$8:$B$10), C22="Barge",Cost!$B$11, C22="Rail",Cost!$B$12, TRUE,0 )</f>
        <v>500000</v>
      </c>
      <c r="G22" s="88">
        <v>0</v>
      </c>
      <c r="H22" s="35">
        <v>1</v>
      </c>
      <c r="I22" s="40">
        <v>0</v>
      </c>
      <c r="J22" s="20"/>
      <c r="K22" s="41"/>
      <c r="L22" s="41"/>
      <c r="M22" s="41"/>
      <c r="N22" s="41"/>
      <c r="O22" s="41"/>
      <c r="P22" s="41"/>
      <c r="Q22" s="41"/>
      <c r="R22" s="41"/>
      <c r="S22" s="41"/>
      <c r="T22" s="41"/>
      <c r="U22" s="41"/>
      <c r="V22" s="41"/>
      <c r="W22" s="41"/>
      <c r="X22" s="41"/>
      <c r="Y22" s="41"/>
      <c r="Z22" s="41"/>
    </row>
    <row r="23" spans="1:26" ht="30" customHeight="1" x14ac:dyDescent="0.3">
      <c r="A23" s="36" t="s">
        <v>24</v>
      </c>
      <c r="B23" s="36" t="s">
        <v>102</v>
      </c>
      <c r="C23" s="20" t="s">
        <v>152</v>
      </c>
      <c r="D23" s="38">
        <v>125</v>
      </c>
      <c r="E23" s="86">
        <f t="array" ref="E23">IF(C23="","",IFERROR(INDEX(Cost!$B$2:$B$4, MATCH("*" &amp; C23 &amp; "*", Cost!$A$2:$A$4, 0)), "Lỗi dữ liệu"))</f>
        <v>0.4</v>
      </c>
      <c r="F23" s="39" cm="1">
        <f t="array" ref="F23">_xlfn.IFS( C23="Road",LOOKUP(D23,{0,50,150},Cost!$B$8:$B$10), C23="Barge",Cost!$B$11, C23="Rail",Cost!$B$12, TRUE,0 )</f>
        <v>500000</v>
      </c>
      <c r="G23" s="88">
        <f>IF(C23="","",IFERROR(INDEX(Cost!$B$16:$B$18, MATCH("*" &amp; C23 &amp; "*", Cost!$A$2:$A$4, 0)), "Lỗi dữ liệu"))</f>
        <v>20000000</v>
      </c>
      <c r="H23" s="35">
        <v>1</v>
      </c>
      <c r="I23" s="40">
        <v>0</v>
      </c>
      <c r="J23" s="20"/>
      <c r="K23" s="41"/>
      <c r="L23" s="41"/>
      <c r="M23" s="41"/>
      <c r="N23" s="41"/>
      <c r="O23" s="41"/>
      <c r="P23" s="41"/>
      <c r="Q23" s="41"/>
      <c r="R23" s="41"/>
      <c r="S23" s="41"/>
      <c r="T23" s="41"/>
      <c r="U23" s="41"/>
      <c r="V23" s="41"/>
      <c r="W23" s="41"/>
      <c r="X23" s="41"/>
      <c r="Y23" s="41"/>
      <c r="Z23" s="41"/>
    </row>
    <row r="24" spans="1:26" ht="30" customHeight="1" x14ac:dyDescent="0.3">
      <c r="A24" s="36" t="s">
        <v>24</v>
      </c>
      <c r="B24" s="36" t="s">
        <v>119</v>
      </c>
      <c r="C24" s="20" t="s">
        <v>162</v>
      </c>
      <c r="D24" s="38">
        <v>120</v>
      </c>
      <c r="E24" s="86">
        <f t="array" ref="E24">IF(C24="","",IFERROR(INDEX(Cost!$B$2:$B$4, MATCH("*" &amp; C24 &amp; "*", Cost!$A$2:$A$4, 0)), "Lỗi dữ liệu"))</f>
        <v>1</v>
      </c>
      <c r="F24" s="39" cm="1">
        <f t="array" ref="F24">_xlfn.IFS( C24="Road",LOOKUP(D24,{0,50,150},Cost!$B$8:$B$10), C24="Barge",Cost!$B$11, C24="Rail",Cost!$B$12, TRUE,0 )</f>
        <v>500000</v>
      </c>
      <c r="G24" s="88">
        <v>0</v>
      </c>
      <c r="H24" s="35">
        <v>1</v>
      </c>
      <c r="I24" s="40">
        <v>0</v>
      </c>
      <c r="J24" s="20"/>
      <c r="K24" s="3"/>
      <c r="L24" s="3"/>
      <c r="M24" s="3"/>
      <c r="N24" s="3"/>
      <c r="O24" s="3"/>
      <c r="P24" s="3"/>
      <c r="Q24" s="3"/>
      <c r="R24" s="3"/>
      <c r="S24" s="3"/>
      <c r="T24" s="3"/>
      <c r="U24" s="3"/>
      <c r="V24" s="3"/>
      <c r="W24" s="3"/>
      <c r="X24" s="3"/>
      <c r="Y24" s="3"/>
      <c r="Z24" s="3"/>
    </row>
    <row r="25" spans="1:26" ht="30" customHeight="1" x14ac:dyDescent="0.3">
      <c r="A25" s="36" t="s">
        <v>24</v>
      </c>
      <c r="B25" s="36" t="s">
        <v>119</v>
      </c>
      <c r="C25" s="20" t="s">
        <v>152</v>
      </c>
      <c r="D25" s="38">
        <v>135</v>
      </c>
      <c r="E25" s="86">
        <f t="array" ref="E25">IF(C25="","",IFERROR(INDEX(Cost!$B$2:$B$4, MATCH("*" &amp; C25 &amp; "*", Cost!$A$2:$A$4, 0)), "Lỗi dữ liệu"))</f>
        <v>0.4</v>
      </c>
      <c r="F25" s="39" cm="1">
        <f t="array" ref="F25">_xlfn.IFS( C25="Road",LOOKUP(D25,{0,50,150},Cost!$B$8:$B$10), C25="Barge",Cost!$B$11, C25="Rail",Cost!$B$12, TRUE,0 )</f>
        <v>500000</v>
      </c>
      <c r="G25" s="88">
        <f>IF(C25="","",IFERROR(INDEX(Cost!$B$16:$B$18, MATCH("*" &amp; C25 &amp; "*", Cost!$A$2:$A$4, 0)), "Lỗi dữ liệu"))</f>
        <v>20000000</v>
      </c>
      <c r="H25" s="35">
        <v>1</v>
      </c>
      <c r="I25" s="40">
        <v>0</v>
      </c>
      <c r="J25" s="20"/>
      <c r="K25" s="3"/>
      <c r="L25" s="3"/>
      <c r="M25" s="3"/>
      <c r="N25" s="3"/>
      <c r="O25" s="3"/>
      <c r="P25" s="3"/>
      <c r="Q25" s="3"/>
      <c r="R25" s="3"/>
      <c r="S25" s="3"/>
      <c r="T25" s="3"/>
      <c r="U25" s="3"/>
      <c r="V25" s="3"/>
      <c r="W25" s="3"/>
      <c r="X25" s="3"/>
      <c r="Y25" s="3"/>
      <c r="Z25" s="3"/>
    </row>
    <row r="26" spans="1:26" ht="30" customHeight="1" x14ac:dyDescent="0.3">
      <c r="A26" s="36" t="s">
        <v>24</v>
      </c>
      <c r="B26" s="36" t="s">
        <v>119</v>
      </c>
      <c r="C26" s="37" t="s">
        <v>139</v>
      </c>
      <c r="D26" s="38">
        <v>125</v>
      </c>
      <c r="E26" s="86">
        <f t="array" ref="E26">IF(C26="","",IFERROR(INDEX(Cost!$B$2:$B$4, MATCH("*" &amp; C26 &amp; "*", Cost!$A$2:$A$4, 0)), "Lỗi dữ liệu"))</f>
        <v>0.25</v>
      </c>
      <c r="F26" s="39" cm="1">
        <f t="array" ref="F26">_xlfn.IFS( C26="Road",LOOKUP(D26,{0,50,150},Cost!$B$8:$B$10), C26="Barge",Cost!$B$11, C26="Rail",Cost!$B$12, TRUE,0 )</f>
        <v>1000000</v>
      </c>
      <c r="G26" s="88">
        <f>IF(C26="","",IFERROR(INDEX(Cost!$B$16:$B$18, MATCH("*" &amp; C26 &amp; "*", Cost!$A$2:$A$4, 0)), "Lỗi dữ liệu"))</f>
        <v>80000000</v>
      </c>
      <c r="H26" s="35">
        <v>1</v>
      </c>
      <c r="I26" s="40">
        <v>0</v>
      </c>
      <c r="J26" s="20"/>
      <c r="K26" s="3"/>
      <c r="L26" s="3"/>
      <c r="M26" s="3"/>
      <c r="N26" s="3"/>
      <c r="O26" s="3"/>
      <c r="P26" s="3"/>
      <c r="Q26" s="3"/>
      <c r="R26" s="3"/>
      <c r="S26" s="3"/>
      <c r="T26" s="3"/>
      <c r="U26" s="3"/>
      <c r="V26" s="3"/>
      <c r="W26" s="3"/>
      <c r="X26" s="3"/>
      <c r="Y26" s="3"/>
      <c r="Z26" s="3"/>
    </row>
    <row r="27" spans="1:26" ht="30" customHeight="1" x14ac:dyDescent="0.3">
      <c r="A27" s="36" t="s">
        <v>24</v>
      </c>
      <c r="B27" s="36" t="s">
        <v>126</v>
      </c>
      <c r="C27" s="37" t="s">
        <v>162</v>
      </c>
      <c r="D27" s="38">
        <v>125</v>
      </c>
      <c r="E27" s="86">
        <f t="array" ref="E27">IF(C27="","",IFERROR(INDEX(Cost!$B$2:$B$4, MATCH("*" &amp; C27 &amp; "*", Cost!$A$2:$A$4, 0)), "Lỗi dữ liệu"))</f>
        <v>1</v>
      </c>
      <c r="F27" s="39" cm="1">
        <f t="array" ref="F27">_xlfn.IFS( C27="Road",LOOKUP(D27,{0,50,150},Cost!$B$8:$B$10), C27="Barge",Cost!$B$11, C27="Rail",Cost!$B$12, TRUE,0 )</f>
        <v>500000</v>
      </c>
      <c r="G27" s="88">
        <f>IF(C27="","",IFERROR(INDEX(Cost!$B$16:$B$18, MATCH("*" &amp; C27 &amp; "*", Cost!$A$2:$A$4, 0)), "Lỗi dữ liệu"))</f>
        <v>6000000</v>
      </c>
      <c r="H27" s="35">
        <v>1</v>
      </c>
      <c r="I27" s="40">
        <v>0</v>
      </c>
      <c r="J27" s="20"/>
      <c r="K27" s="41"/>
      <c r="L27" s="41"/>
      <c r="M27" s="41"/>
      <c r="N27" s="41"/>
      <c r="O27" s="41"/>
      <c r="P27" s="41"/>
      <c r="Q27" s="41"/>
      <c r="R27" s="41"/>
      <c r="S27" s="41"/>
      <c r="T27" s="41"/>
      <c r="U27" s="41"/>
      <c r="V27" s="41"/>
      <c r="W27" s="41"/>
      <c r="X27" s="41"/>
      <c r="Y27" s="41"/>
      <c r="Z27" s="41"/>
    </row>
    <row r="28" spans="1:26" ht="30" customHeight="1" x14ac:dyDescent="0.3">
      <c r="A28" s="36" t="s">
        <v>24</v>
      </c>
      <c r="B28" s="36" t="s">
        <v>126</v>
      </c>
      <c r="C28" s="20" t="s">
        <v>152</v>
      </c>
      <c r="D28" s="38">
        <v>140</v>
      </c>
      <c r="E28" s="86">
        <f t="array" ref="E28">IF(C28="","",IFERROR(INDEX(Cost!$B$2:$B$4, MATCH("*" &amp; C28 &amp; "*", Cost!$A$2:$A$4, 0)), "Lỗi dữ liệu"))</f>
        <v>0.4</v>
      </c>
      <c r="F28" s="39" cm="1">
        <f t="array" ref="F28">_xlfn.IFS( C28="Road",LOOKUP(D28,{0,50,150},Cost!$B$8:$B$10), C28="Barge",Cost!$B$11, C28="Rail",Cost!$B$12, TRUE,0 )</f>
        <v>500000</v>
      </c>
      <c r="G28" s="88">
        <f>IF(C28="","",IFERROR(INDEX(Cost!$B$16:$B$18, MATCH("*" &amp; C28 &amp; "*", Cost!$A$2:$A$4, 0)), "Lỗi dữ liệu"))</f>
        <v>20000000</v>
      </c>
      <c r="H28" s="35">
        <v>1</v>
      </c>
      <c r="I28" s="40">
        <v>0</v>
      </c>
      <c r="J28" s="20"/>
      <c r="K28" s="41"/>
      <c r="L28" s="41"/>
      <c r="M28" s="41"/>
      <c r="N28" s="41"/>
      <c r="O28" s="41"/>
      <c r="P28" s="41"/>
      <c r="Q28" s="41"/>
      <c r="R28" s="41"/>
      <c r="S28" s="41"/>
      <c r="T28" s="41"/>
      <c r="U28" s="41"/>
      <c r="V28" s="41"/>
      <c r="W28" s="41"/>
      <c r="X28" s="41"/>
      <c r="Y28" s="41"/>
      <c r="Z28" s="41"/>
    </row>
    <row r="29" spans="1:26" ht="30" customHeight="1" x14ac:dyDescent="0.3">
      <c r="A29" s="36" t="s">
        <v>24</v>
      </c>
      <c r="B29" s="36" t="s">
        <v>126</v>
      </c>
      <c r="C29" s="20" t="s">
        <v>139</v>
      </c>
      <c r="D29" s="38">
        <v>130</v>
      </c>
      <c r="E29" s="86">
        <f t="array" ref="E29">IF(C29="","",IFERROR(INDEX(Cost!$B$2:$B$4, MATCH("*" &amp; C29 &amp; "*", Cost!$A$2:$A$4, 0)), "Lỗi dữ liệu"))</f>
        <v>0.25</v>
      </c>
      <c r="F29" s="39" cm="1">
        <f t="array" ref="F29">_xlfn.IFS( C29="Road",LOOKUP(D29,{0,50,150},Cost!$B$8:$B$10), C29="Barge",Cost!$B$11, C29="Rail",Cost!$B$12, TRUE,0 )</f>
        <v>1000000</v>
      </c>
      <c r="G29" s="88">
        <f>IF(C29="","",IFERROR(INDEX(Cost!$B$16:$B$18, MATCH("*" &amp; C29 &amp; "*", Cost!$A$2:$A$4, 0)), "Lỗi dữ liệu"))</f>
        <v>80000000</v>
      </c>
      <c r="H29" s="35">
        <v>1</v>
      </c>
      <c r="I29" s="40">
        <v>0</v>
      </c>
      <c r="J29" s="20"/>
      <c r="K29" s="41"/>
      <c r="L29" s="41"/>
      <c r="M29" s="41"/>
      <c r="N29" s="41"/>
      <c r="O29" s="41"/>
      <c r="P29" s="41"/>
      <c r="Q29" s="41"/>
      <c r="R29" s="41"/>
      <c r="S29" s="41"/>
      <c r="T29" s="41"/>
      <c r="U29" s="41"/>
      <c r="V29" s="41"/>
      <c r="W29" s="41"/>
      <c r="X29" s="41"/>
      <c r="Y29" s="41"/>
      <c r="Z29" s="41"/>
    </row>
    <row r="30" spans="1:26" ht="30" customHeight="1" x14ac:dyDescent="0.3">
      <c r="A30" s="43" t="s">
        <v>11</v>
      </c>
      <c r="B30" s="43" t="s">
        <v>24</v>
      </c>
      <c r="C30" s="37" t="s">
        <v>162</v>
      </c>
      <c r="D30" s="38">
        <v>35</v>
      </c>
      <c r="E30" s="86">
        <f t="array" ref="E30">IF(C30="","",IFERROR(INDEX(Cost!$B$2:$B$4, MATCH("*" &amp; C30 &amp; "*", Cost!$A$2:$A$4, 0)), "Lỗi dữ liệu"))</f>
        <v>1</v>
      </c>
      <c r="F30" s="39" cm="1">
        <f t="array" ref="F30">_xlfn.IFS( C30="Road",LOOKUP(D30,{0,50,150},Cost!$B$8:$B$10), C30="Barge",Cost!$B$11, C30="Rail",Cost!$B$12, TRUE,0 )</f>
        <v>800000</v>
      </c>
      <c r="G30" s="88">
        <v>0</v>
      </c>
      <c r="H30" s="35">
        <v>1</v>
      </c>
      <c r="I30" s="40">
        <v>1</v>
      </c>
      <c r="J30" s="20"/>
      <c r="K30" s="3"/>
      <c r="L30" s="3"/>
      <c r="M30" s="3"/>
      <c r="N30" s="3"/>
      <c r="O30" s="3"/>
      <c r="P30" s="3"/>
      <c r="Q30" s="3"/>
      <c r="R30" s="3"/>
      <c r="S30" s="3"/>
      <c r="T30" s="3"/>
      <c r="U30" s="3"/>
      <c r="V30" s="3"/>
      <c r="W30" s="3"/>
      <c r="X30" s="3"/>
      <c r="Y30" s="3"/>
      <c r="Z30" s="3"/>
    </row>
    <row r="31" spans="1:26" ht="30" customHeight="1" x14ac:dyDescent="0.3">
      <c r="A31" s="43" t="s">
        <v>11</v>
      </c>
      <c r="B31" s="43" t="s">
        <v>24</v>
      </c>
      <c r="C31" s="20" t="s">
        <v>152</v>
      </c>
      <c r="D31" s="38">
        <v>40</v>
      </c>
      <c r="E31" s="86">
        <f t="array" ref="E31">IF(C31="","",IFERROR(INDEX(Cost!$B$2:$B$4, MATCH("*" &amp; C31 &amp; "*", Cost!$A$2:$A$4, 0)), "Lỗi dữ liệu"))</f>
        <v>0.4</v>
      </c>
      <c r="F31" s="39" cm="1">
        <f t="array" ref="F31">_xlfn.IFS( C31="Road",LOOKUP(D31,{0,50,150},Cost!$B$8:$B$10), C31="Barge",Cost!$B$11, C31="Rail",Cost!$B$12, TRUE,0 )</f>
        <v>500000</v>
      </c>
      <c r="G31" s="88">
        <f>IF(C31="","",IFERROR(INDEX(Cost!$B$16:$B$18, MATCH("*" &amp; C31 &amp; "*", Cost!$A$2:$A$4, 0)), "Lỗi dữ liệu"))</f>
        <v>20000000</v>
      </c>
      <c r="H31" s="35">
        <v>1</v>
      </c>
      <c r="I31" s="40">
        <v>1</v>
      </c>
      <c r="J31" s="20"/>
      <c r="K31" s="3"/>
      <c r="L31" s="3"/>
      <c r="M31" s="3"/>
      <c r="N31" s="3"/>
      <c r="O31" s="3"/>
      <c r="P31" s="3"/>
      <c r="Q31" s="3"/>
      <c r="R31" s="3"/>
      <c r="S31" s="3"/>
      <c r="T31" s="3"/>
      <c r="U31" s="3"/>
      <c r="V31" s="3"/>
      <c r="W31" s="3"/>
      <c r="X31" s="3"/>
      <c r="Y31" s="3"/>
      <c r="Z31" s="3"/>
    </row>
    <row r="32" spans="1:26" ht="30" customHeight="1" x14ac:dyDescent="0.3">
      <c r="A32" s="43" t="s">
        <v>11</v>
      </c>
      <c r="B32" s="43" t="s">
        <v>17</v>
      </c>
      <c r="C32" s="20" t="s">
        <v>162</v>
      </c>
      <c r="D32" s="38">
        <v>15</v>
      </c>
      <c r="E32" s="86">
        <f t="array" ref="E32">IF(C32="","",IFERROR(INDEX(Cost!$B$2:$B$4, MATCH("*" &amp; C32 &amp; "*", Cost!$A$2:$A$4, 0)), "Lỗi dữ liệu"))</f>
        <v>1</v>
      </c>
      <c r="F32" s="39" cm="1">
        <f t="array" ref="F32">_xlfn.IFS( C32="Road",LOOKUP(D32,{0,50,150},Cost!$B$8:$B$10), C32="Barge",Cost!$B$11, C32="Rail",Cost!$B$12, TRUE,0 )</f>
        <v>800000</v>
      </c>
      <c r="G32" s="88">
        <v>0</v>
      </c>
      <c r="H32" s="35">
        <v>1</v>
      </c>
      <c r="I32" s="40">
        <v>0</v>
      </c>
      <c r="J32" s="20"/>
      <c r="K32" s="41"/>
      <c r="L32" s="41"/>
      <c r="M32" s="41"/>
      <c r="N32" s="41"/>
      <c r="O32" s="41"/>
      <c r="P32" s="41"/>
      <c r="Q32" s="41"/>
      <c r="R32" s="41"/>
      <c r="S32" s="41"/>
      <c r="T32" s="41"/>
      <c r="U32" s="41"/>
      <c r="V32" s="41"/>
      <c r="W32" s="41"/>
      <c r="X32" s="41"/>
      <c r="Y32" s="41"/>
      <c r="Z32" s="41"/>
    </row>
    <row r="33" spans="1:26" ht="30" customHeight="1" x14ac:dyDescent="0.3">
      <c r="A33" s="43" t="s">
        <v>11</v>
      </c>
      <c r="B33" s="43" t="s">
        <v>17</v>
      </c>
      <c r="C33" s="20" t="s">
        <v>152</v>
      </c>
      <c r="D33" s="38">
        <v>50</v>
      </c>
      <c r="E33" s="86">
        <f t="array" ref="E33">IF(C33="","",IFERROR(INDEX(Cost!$B$2:$B$4, MATCH("*" &amp; C33 &amp; "*", Cost!$A$2:$A$4, 0)), "Lỗi dữ liệu"))</f>
        <v>0.4</v>
      </c>
      <c r="F33" s="39" cm="1">
        <f t="array" ref="F33">_xlfn.IFS( C33="Road",LOOKUP(D33,{0,50,150},Cost!$B$8:$B$10), C33="Barge",Cost!$B$11, C33="Rail",Cost!$B$12, TRUE,0 )</f>
        <v>500000</v>
      </c>
      <c r="G33" s="88">
        <f>IF(C33="","",IFERROR(INDEX(Cost!$B$16:$B$18, MATCH("*" &amp; C33 &amp; "*", Cost!$A$2:$A$4, 0)), "Lỗi dữ liệu"))</f>
        <v>20000000</v>
      </c>
      <c r="H33" s="35">
        <v>1</v>
      </c>
      <c r="I33" s="40">
        <v>0</v>
      </c>
      <c r="J33" s="20"/>
      <c r="K33" s="41"/>
      <c r="L33" s="41"/>
      <c r="M33" s="41"/>
      <c r="N33" s="41"/>
      <c r="O33" s="41"/>
      <c r="P33" s="41"/>
      <c r="Q33" s="41"/>
      <c r="R33" s="41"/>
      <c r="S33" s="41"/>
      <c r="T33" s="41"/>
      <c r="U33" s="41"/>
      <c r="V33" s="41"/>
      <c r="W33" s="41"/>
      <c r="X33" s="41"/>
      <c r="Y33" s="41"/>
      <c r="Z33" s="41"/>
    </row>
    <row r="34" spans="1:26" ht="30" customHeight="1" x14ac:dyDescent="0.3">
      <c r="A34" s="43" t="s">
        <v>11</v>
      </c>
      <c r="B34" s="43" t="s">
        <v>17</v>
      </c>
      <c r="C34" s="20" t="s">
        <v>139</v>
      </c>
      <c r="D34" s="38">
        <v>120</v>
      </c>
      <c r="E34" s="86">
        <f t="array" ref="E34">IF(C34="","",IFERROR(INDEX(Cost!$B$2:$B$4, MATCH("*" &amp; C34 &amp; "*", Cost!$A$2:$A$4, 0)), "Lỗi dữ liệu"))</f>
        <v>0.25</v>
      </c>
      <c r="F34" s="39" cm="1">
        <f t="array" ref="F34">_xlfn.IFS( C34="Road",LOOKUP(D34,{0,50,150},Cost!$B$8:$B$10), C34="Barge",Cost!$B$11, C34="Rail",Cost!$B$12, TRUE,0 )</f>
        <v>1000000</v>
      </c>
      <c r="G34" s="88">
        <f>IF(C34="","",IFERROR(INDEX(Cost!$B$16:$B$18, MATCH("*" &amp; C34 &amp; "*", Cost!$A$2:$A$4, 0)), "Lỗi dữ liệu"))</f>
        <v>80000000</v>
      </c>
      <c r="H34" s="35">
        <v>1</v>
      </c>
      <c r="I34" s="40">
        <v>0</v>
      </c>
      <c r="J34" s="20"/>
      <c r="K34" s="41"/>
      <c r="L34" s="41"/>
      <c r="M34" s="41"/>
      <c r="N34" s="41"/>
      <c r="O34" s="41"/>
      <c r="P34" s="41"/>
      <c r="Q34" s="41"/>
      <c r="R34" s="41"/>
      <c r="S34" s="41"/>
      <c r="T34" s="41"/>
      <c r="U34" s="41"/>
      <c r="V34" s="41"/>
      <c r="W34" s="41"/>
      <c r="X34" s="41"/>
      <c r="Y34" s="41"/>
      <c r="Z34" s="41"/>
    </row>
    <row r="35" spans="1:26" ht="30" customHeight="1" x14ac:dyDescent="0.3">
      <c r="A35" s="43" t="s">
        <v>11</v>
      </c>
      <c r="B35" s="43" t="s">
        <v>29</v>
      </c>
      <c r="C35" s="20" t="s">
        <v>162</v>
      </c>
      <c r="D35" s="38">
        <v>10</v>
      </c>
      <c r="E35" s="86">
        <f t="array" ref="E35">IF(C35="","",IFERROR(INDEX(Cost!$B$2:$B$4, MATCH("*" &amp; C35 &amp; "*", Cost!$A$2:$A$4, 0)), "Lỗi dữ liệu"))</f>
        <v>1</v>
      </c>
      <c r="F35" s="39" cm="1">
        <f t="array" ref="F35">_xlfn.IFS( C35="Road",LOOKUP(D35,{0,50,150},Cost!$B$8:$B$10), C35="Barge",Cost!$B$11, C35="Rail",Cost!$B$12, TRUE,0 )</f>
        <v>800000</v>
      </c>
      <c r="G35" s="88">
        <v>0</v>
      </c>
      <c r="H35" s="35">
        <v>1</v>
      </c>
      <c r="I35" s="40">
        <v>0</v>
      </c>
      <c r="J35" s="20"/>
      <c r="K35" s="3"/>
      <c r="L35" s="3"/>
      <c r="M35" s="3"/>
      <c r="N35" s="3"/>
      <c r="O35" s="3"/>
      <c r="P35" s="3"/>
      <c r="Q35" s="3"/>
      <c r="R35" s="3"/>
      <c r="S35" s="3"/>
      <c r="T35" s="3"/>
      <c r="U35" s="3"/>
      <c r="V35" s="3"/>
      <c r="W35" s="3"/>
      <c r="X35" s="3"/>
      <c r="Y35" s="3"/>
      <c r="Z35" s="3"/>
    </row>
    <row r="36" spans="1:26" ht="30" customHeight="1" x14ac:dyDescent="0.3">
      <c r="A36" s="43" t="s">
        <v>11</v>
      </c>
      <c r="B36" s="43" t="s">
        <v>29</v>
      </c>
      <c r="C36" s="20" t="s">
        <v>152</v>
      </c>
      <c r="D36" s="38">
        <v>15</v>
      </c>
      <c r="E36" s="86">
        <f t="array" ref="E36">IF(C36="","",IFERROR(INDEX(Cost!$B$2:$B$4, MATCH("*" &amp; C36 &amp; "*", Cost!$A$2:$A$4, 0)), "Lỗi dữ liệu"))</f>
        <v>0.4</v>
      </c>
      <c r="F36" s="39" cm="1">
        <f t="array" ref="F36">_xlfn.IFS( C36="Road",LOOKUP(D36,{0,50,150},Cost!$B$8:$B$10), C36="Barge",Cost!$B$11, C36="Rail",Cost!$B$12, TRUE,0 )</f>
        <v>500000</v>
      </c>
      <c r="G36" s="88">
        <f>IF(C36="","",IFERROR(INDEX(Cost!$B$16:$B$18, MATCH("*" &amp; C36 &amp; "*", Cost!$A$2:$A$4, 0)), "Lỗi dữ liệu"))</f>
        <v>20000000</v>
      </c>
      <c r="H36" s="35">
        <v>1</v>
      </c>
      <c r="I36" s="40">
        <v>0</v>
      </c>
      <c r="J36" s="20"/>
      <c r="K36" s="3"/>
      <c r="L36" s="3"/>
      <c r="M36" s="3"/>
      <c r="N36" s="3"/>
      <c r="O36" s="3"/>
      <c r="P36" s="3"/>
      <c r="Q36" s="3"/>
      <c r="R36" s="3"/>
      <c r="S36" s="3"/>
      <c r="T36" s="3"/>
      <c r="U36" s="3"/>
      <c r="V36" s="3"/>
      <c r="W36" s="3"/>
      <c r="X36" s="3"/>
      <c r="Y36" s="3"/>
      <c r="Z36" s="3"/>
    </row>
    <row r="37" spans="1:26" ht="30" customHeight="1" x14ac:dyDescent="0.3">
      <c r="A37" s="43" t="s">
        <v>11</v>
      </c>
      <c r="B37" s="43" t="s">
        <v>49</v>
      </c>
      <c r="C37" s="20" t="s">
        <v>162</v>
      </c>
      <c r="D37" s="38">
        <v>110</v>
      </c>
      <c r="E37" s="86">
        <f t="array" ref="E37">IF(C37="","",IFERROR(INDEX(Cost!$B$2:$B$4, MATCH("*" &amp; C37 &amp; "*", Cost!$A$2:$A$4, 0)), "Lỗi dữ liệu"))</f>
        <v>1</v>
      </c>
      <c r="F37" s="39" cm="1">
        <f t="array" ref="F37">_xlfn.IFS( C37="Road",LOOKUP(D37,{0,50,150},Cost!$B$8:$B$10), C37="Barge",Cost!$B$11, C37="Rail",Cost!$B$12, TRUE,0 )</f>
        <v>500000</v>
      </c>
      <c r="G37" s="88">
        <f>IF(C37="","",IFERROR(INDEX(Cost!$B$16:$B$18, MATCH("*" &amp; C37 &amp; "*", Cost!$A$2:$A$4, 0)), "Lỗi dữ liệu"))</f>
        <v>6000000</v>
      </c>
      <c r="H37" s="35">
        <v>1</v>
      </c>
      <c r="I37" s="40">
        <v>0</v>
      </c>
      <c r="J37" s="20"/>
      <c r="K37" s="41"/>
      <c r="L37" s="41"/>
      <c r="M37" s="41"/>
      <c r="N37" s="41"/>
      <c r="O37" s="41"/>
      <c r="P37" s="41"/>
      <c r="Q37" s="41"/>
      <c r="R37" s="41"/>
      <c r="S37" s="41"/>
      <c r="T37" s="41"/>
      <c r="U37" s="41"/>
      <c r="V37" s="41"/>
      <c r="W37" s="41"/>
      <c r="X37" s="41"/>
      <c r="Y37" s="41"/>
      <c r="Z37" s="41"/>
    </row>
    <row r="38" spans="1:26" ht="30" customHeight="1" x14ac:dyDescent="0.3">
      <c r="A38" s="43" t="s">
        <v>11</v>
      </c>
      <c r="B38" s="43" t="s">
        <v>49</v>
      </c>
      <c r="C38" s="20" t="s">
        <v>152</v>
      </c>
      <c r="D38" s="38">
        <v>120</v>
      </c>
      <c r="E38" s="86">
        <f t="array" ref="E38">IF(C38="","",IFERROR(INDEX(Cost!$B$2:$B$4, MATCH("*" &amp; C38 &amp; "*", Cost!$A$2:$A$4, 0)), "Lỗi dữ liệu"))</f>
        <v>0.4</v>
      </c>
      <c r="F38" s="39" cm="1">
        <f t="array" ref="F38">_xlfn.IFS( C38="Road",LOOKUP(D38,{0,50,150},Cost!$B$8:$B$10), C38="Barge",Cost!$B$11, C38="Rail",Cost!$B$12, TRUE,0 )</f>
        <v>500000</v>
      </c>
      <c r="G38" s="88">
        <f>IF(C38="","",IFERROR(INDEX(Cost!$B$16:$B$18, MATCH("*" &amp; C38 &amp; "*", Cost!$A$2:$A$4, 0)), "Lỗi dữ liệu"))</f>
        <v>20000000</v>
      </c>
      <c r="H38" s="35">
        <v>1</v>
      </c>
      <c r="I38" s="40">
        <v>0</v>
      </c>
      <c r="J38" s="20"/>
      <c r="K38" s="41"/>
      <c r="L38" s="41"/>
      <c r="M38" s="41"/>
      <c r="N38" s="41"/>
      <c r="O38" s="41"/>
      <c r="P38" s="41"/>
      <c r="Q38" s="41"/>
      <c r="R38" s="41"/>
      <c r="S38" s="41"/>
      <c r="T38" s="41"/>
      <c r="U38" s="41"/>
      <c r="V38" s="41"/>
      <c r="W38" s="41"/>
      <c r="X38" s="41"/>
      <c r="Y38" s="41"/>
      <c r="Z38" s="41"/>
    </row>
    <row r="39" spans="1:26" ht="30" customHeight="1" x14ac:dyDescent="0.3">
      <c r="A39" s="43" t="s">
        <v>11</v>
      </c>
      <c r="B39" s="43" t="s">
        <v>49</v>
      </c>
      <c r="C39" s="20" t="s">
        <v>139</v>
      </c>
      <c r="D39" s="38">
        <v>115</v>
      </c>
      <c r="E39" s="86">
        <f t="array" ref="E39">IF(C39="","",IFERROR(INDEX(Cost!$B$2:$B$4, MATCH("*" &amp; C39 &amp; "*", Cost!$A$2:$A$4, 0)), "Lỗi dữ liệu"))</f>
        <v>0.25</v>
      </c>
      <c r="F39" s="39" cm="1">
        <f t="array" ref="F39">_xlfn.IFS( C39="Road",LOOKUP(D39,{0,50,150},Cost!$B$8:$B$10), C39="Barge",Cost!$B$11, C39="Rail",Cost!$B$12, TRUE,0 )</f>
        <v>1000000</v>
      </c>
      <c r="G39" s="88">
        <f>IF(C39="","",IFERROR(INDEX(Cost!$B$16:$B$18, MATCH("*" &amp; C39 &amp; "*", Cost!$A$2:$A$4, 0)), "Lỗi dữ liệu"))</f>
        <v>80000000</v>
      </c>
      <c r="H39" s="35">
        <v>1</v>
      </c>
      <c r="I39" s="40">
        <v>0</v>
      </c>
      <c r="J39" s="20"/>
      <c r="K39" s="41"/>
      <c r="L39" s="41"/>
      <c r="M39" s="41"/>
      <c r="N39" s="41"/>
      <c r="O39" s="41"/>
      <c r="P39" s="41"/>
      <c r="Q39" s="41"/>
      <c r="R39" s="41"/>
      <c r="S39" s="41"/>
      <c r="T39" s="41"/>
      <c r="U39" s="41"/>
      <c r="V39" s="41"/>
      <c r="W39" s="41"/>
      <c r="X39" s="41"/>
      <c r="Y39" s="41"/>
      <c r="Z39" s="41"/>
    </row>
    <row r="40" spans="1:26" ht="30" customHeight="1" x14ac:dyDescent="0.3">
      <c r="A40" s="43" t="s">
        <v>11</v>
      </c>
      <c r="B40" s="43" t="s">
        <v>58</v>
      </c>
      <c r="C40" s="20" t="s">
        <v>162</v>
      </c>
      <c r="D40" s="38">
        <v>120</v>
      </c>
      <c r="E40" s="86">
        <f t="array" ref="E40">IF(C40="","",IFERROR(INDEX(Cost!$B$2:$B$4, MATCH("*" &amp; C40 &amp; "*", Cost!$A$2:$A$4, 0)), "Lỗi dữ liệu"))</f>
        <v>1</v>
      </c>
      <c r="F40" s="39" cm="1">
        <f t="array" ref="F40">_xlfn.IFS( C40="Road",LOOKUP(D40,{0,50,150},Cost!$B$8:$B$10), C40="Barge",Cost!$B$11, C40="Rail",Cost!$B$12, TRUE,0 )</f>
        <v>500000</v>
      </c>
      <c r="G40" s="88">
        <f>IF(C40="","",IFERROR(INDEX(Cost!$B$16:$B$18, MATCH("*" &amp; C40 &amp; "*", Cost!$A$2:$A$4, 0)), "Lỗi dữ liệu"))</f>
        <v>6000000</v>
      </c>
      <c r="H40" s="35">
        <v>1</v>
      </c>
      <c r="I40" s="40">
        <v>0</v>
      </c>
      <c r="J40" s="20"/>
      <c r="K40" s="3"/>
      <c r="L40" s="3"/>
      <c r="M40" s="3"/>
      <c r="N40" s="3"/>
      <c r="O40" s="3"/>
      <c r="P40" s="3"/>
      <c r="Q40" s="3"/>
      <c r="R40" s="3"/>
      <c r="S40" s="3"/>
      <c r="T40" s="3"/>
      <c r="U40" s="3"/>
      <c r="V40" s="3"/>
      <c r="W40" s="3"/>
      <c r="X40" s="3"/>
      <c r="Y40" s="3"/>
      <c r="Z40" s="3"/>
    </row>
    <row r="41" spans="1:26" ht="30" customHeight="1" x14ac:dyDescent="0.3">
      <c r="A41" s="43" t="s">
        <v>11</v>
      </c>
      <c r="B41" s="43" t="s">
        <v>58</v>
      </c>
      <c r="C41" s="20" t="s">
        <v>152</v>
      </c>
      <c r="D41" s="38">
        <v>140</v>
      </c>
      <c r="E41" s="86">
        <f t="array" ref="E41">IF(C41="","",IFERROR(INDEX(Cost!$B$2:$B$4, MATCH("*" &amp; C41 &amp; "*", Cost!$A$2:$A$4, 0)), "Lỗi dữ liệu"))</f>
        <v>0.4</v>
      </c>
      <c r="F41" s="39" cm="1">
        <f t="array" ref="F41">_xlfn.IFS( C41="Road",LOOKUP(D41,{0,50,150},Cost!$B$8:$B$10), C41="Barge",Cost!$B$11, C41="Rail",Cost!$B$12, TRUE,0 )</f>
        <v>500000</v>
      </c>
      <c r="G41" s="88">
        <f>IF(C41="","",IFERROR(INDEX(Cost!$B$16:$B$18, MATCH("*" &amp; C41 &amp; "*", Cost!$A$2:$A$4, 0)), "Lỗi dữ liệu"))</f>
        <v>20000000</v>
      </c>
      <c r="H41" s="35">
        <v>1</v>
      </c>
      <c r="I41" s="40">
        <v>0</v>
      </c>
      <c r="J41" s="20"/>
      <c r="K41" s="3"/>
      <c r="L41" s="3"/>
      <c r="M41" s="3"/>
      <c r="N41" s="3"/>
      <c r="O41" s="3"/>
      <c r="P41" s="3"/>
      <c r="Q41" s="3"/>
      <c r="R41" s="3"/>
      <c r="S41" s="3"/>
      <c r="T41" s="3"/>
      <c r="U41" s="3"/>
      <c r="V41" s="3"/>
      <c r="W41" s="3"/>
      <c r="X41" s="3"/>
      <c r="Y41" s="3"/>
      <c r="Z41" s="3"/>
    </row>
    <row r="42" spans="1:26" ht="30" customHeight="1" x14ac:dyDescent="0.3">
      <c r="A42" s="43" t="s">
        <v>11</v>
      </c>
      <c r="B42" s="43" t="s">
        <v>58</v>
      </c>
      <c r="C42" s="20" t="s">
        <v>139</v>
      </c>
      <c r="D42" s="38">
        <v>125</v>
      </c>
      <c r="E42" s="86">
        <f t="array" ref="E42">IF(C42="","",IFERROR(INDEX(Cost!$B$2:$B$4, MATCH("*" &amp; C42 &amp; "*", Cost!$A$2:$A$4, 0)), "Lỗi dữ liệu"))</f>
        <v>0.25</v>
      </c>
      <c r="F42" s="39" cm="1">
        <f t="array" ref="F42">_xlfn.IFS( C42="Road",LOOKUP(D42,{0,50,150},Cost!$B$8:$B$10), C42="Barge",Cost!$B$11, C42="Rail",Cost!$B$12, TRUE,0 )</f>
        <v>1000000</v>
      </c>
      <c r="G42" s="88">
        <f>IF(C42="","",IFERROR(INDEX(Cost!$B$16:$B$18, MATCH("*" &amp; C42 &amp; "*", Cost!$A$2:$A$4, 0)), "Lỗi dữ liệu"))</f>
        <v>80000000</v>
      </c>
      <c r="H42" s="35">
        <v>1</v>
      </c>
      <c r="I42" s="40">
        <v>0</v>
      </c>
      <c r="J42" s="20"/>
      <c r="K42" s="3"/>
      <c r="L42" s="3"/>
      <c r="M42" s="3"/>
      <c r="N42" s="3"/>
      <c r="O42" s="3"/>
      <c r="P42" s="3"/>
      <c r="Q42" s="3"/>
      <c r="R42" s="3"/>
      <c r="S42" s="3"/>
      <c r="T42" s="3"/>
      <c r="U42" s="3"/>
      <c r="V42" s="3"/>
      <c r="W42" s="3"/>
      <c r="X42" s="3"/>
      <c r="Y42" s="3"/>
      <c r="Z42" s="3"/>
    </row>
    <row r="43" spans="1:26" ht="30" customHeight="1" x14ac:dyDescent="0.3">
      <c r="A43" s="43" t="s">
        <v>11</v>
      </c>
      <c r="B43" s="43" t="s">
        <v>63</v>
      </c>
      <c r="C43" s="20" t="s">
        <v>162</v>
      </c>
      <c r="D43" s="38">
        <v>115</v>
      </c>
      <c r="E43" s="86">
        <f t="array" ref="E43">IF(C43="","",IFERROR(INDEX(Cost!$B$2:$B$4, MATCH("*" &amp; C43 &amp; "*", Cost!$A$2:$A$4, 0)), "Lỗi dữ liệu"))</f>
        <v>1</v>
      </c>
      <c r="F43" s="39" cm="1">
        <f t="array" ref="F43">_xlfn.IFS( C43="Road",LOOKUP(D43,{0,50,150},Cost!$B$8:$B$10), C43="Barge",Cost!$B$11, C43="Rail",Cost!$B$12, TRUE,0 )</f>
        <v>500000</v>
      </c>
      <c r="G43" s="88">
        <f>IF(C43="","",IFERROR(INDEX(Cost!$B$16:$B$18, MATCH("*" &amp; C43 &amp; "*", Cost!$A$2:$A$4, 0)), "Lỗi dữ liệu"))</f>
        <v>6000000</v>
      </c>
      <c r="H43" s="35">
        <v>1</v>
      </c>
      <c r="I43" s="40">
        <v>0</v>
      </c>
      <c r="J43" s="20"/>
      <c r="K43" s="41"/>
      <c r="L43" s="41"/>
      <c r="M43" s="41"/>
      <c r="N43" s="41"/>
      <c r="O43" s="41"/>
      <c r="P43" s="41"/>
      <c r="Q43" s="41"/>
      <c r="R43" s="41"/>
      <c r="S43" s="41"/>
      <c r="T43" s="41"/>
      <c r="U43" s="41"/>
      <c r="V43" s="41"/>
      <c r="W43" s="41"/>
      <c r="X43" s="41"/>
      <c r="Y43" s="41"/>
      <c r="Z43" s="41"/>
    </row>
    <row r="44" spans="1:26" ht="30" customHeight="1" x14ac:dyDescent="0.3">
      <c r="A44" s="43" t="s">
        <v>11</v>
      </c>
      <c r="B44" s="43" t="s">
        <v>63</v>
      </c>
      <c r="C44" s="20" t="s">
        <v>152</v>
      </c>
      <c r="D44" s="38">
        <v>125</v>
      </c>
      <c r="E44" s="86">
        <f t="array" ref="E44">IF(C44="","",IFERROR(INDEX(Cost!$B$2:$B$4, MATCH("*" &amp; C44 &amp; "*", Cost!$A$2:$A$4, 0)), "Lỗi dữ liệu"))</f>
        <v>0.4</v>
      </c>
      <c r="F44" s="39" cm="1">
        <f t="array" ref="F44">_xlfn.IFS( C44="Road",LOOKUP(D44,{0,50,150},Cost!$B$8:$B$10), C44="Barge",Cost!$B$11, C44="Rail",Cost!$B$12, TRUE,0 )</f>
        <v>500000</v>
      </c>
      <c r="G44" s="88">
        <f>IF(C44="","",IFERROR(INDEX(Cost!$B$16:$B$18, MATCH("*" &amp; C44 &amp; "*", Cost!$A$2:$A$4, 0)), "Lỗi dữ liệu"))</f>
        <v>20000000</v>
      </c>
      <c r="H44" s="35">
        <v>1</v>
      </c>
      <c r="I44" s="40">
        <v>0</v>
      </c>
      <c r="J44" s="20"/>
      <c r="K44" s="41"/>
      <c r="L44" s="41"/>
      <c r="M44" s="41"/>
      <c r="N44" s="41"/>
      <c r="O44" s="41"/>
      <c r="P44" s="41"/>
      <c r="Q44" s="41"/>
      <c r="R44" s="41"/>
      <c r="S44" s="41"/>
      <c r="T44" s="41"/>
      <c r="U44" s="41"/>
      <c r="V44" s="41"/>
      <c r="W44" s="41"/>
      <c r="X44" s="41"/>
      <c r="Y44" s="41"/>
      <c r="Z44" s="41"/>
    </row>
    <row r="45" spans="1:26" ht="30" customHeight="1" x14ac:dyDescent="0.3">
      <c r="A45" s="43" t="s">
        <v>11</v>
      </c>
      <c r="B45" s="43" t="s">
        <v>63</v>
      </c>
      <c r="C45" s="20" t="s">
        <v>139</v>
      </c>
      <c r="D45" s="38">
        <v>120</v>
      </c>
      <c r="E45" s="86">
        <f t="array" ref="E45">IF(C45="","",IFERROR(INDEX(Cost!$B$2:$B$4, MATCH("*" &amp; C45 &amp; "*", Cost!$A$2:$A$4, 0)), "Lỗi dữ liệu"))</f>
        <v>0.25</v>
      </c>
      <c r="F45" s="39" cm="1">
        <f t="array" ref="F45">_xlfn.IFS( C45="Road",LOOKUP(D45,{0,50,150},Cost!$B$8:$B$10), C45="Barge",Cost!$B$11, C45="Rail",Cost!$B$12, TRUE,0 )</f>
        <v>1000000</v>
      </c>
      <c r="G45" s="88">
        <f>IF(C45="","",IFERROR(INDEX(Cost!$B$16:$B$18, MATCH("*" &amp; C45 &amp; "*", Cost!$A$2:$A$4, 0)), "Lỗi dữ liệu"))</f>
        <v>80000000</v>
      </c>
      <c r="H45" s="35">
        <v>1</v>
      </c>
      <c r="I45" s="40">
        <v>0</v>
      </c>
      <c r="J45" s="20"/>
      <c r="K45" s="41"/>
      <c r="L45" s="41"/>
      <c r="M45" s="41"/>
      <c r="N45" s="41"/>
      <c r="O45" s="41"/>
      <c r="P45" s="41"/>
      <c r="Q45" s="41"/>
      <c r="R45" s="41"/>
      <c r="S45" s="41"/>
      <c r="T45" s="41"/>
      <c r="U45" s="41"/>
      <c r="V45" s="41"/>
      <c r="W45" s="41"/>
      <c r="X45" s="41"/>
      <c r="Y45" s="41"/>
      <c r="Z45" s="41"/>
    </row>
    <row r="46" spans="1:26" ht="30" customHeight="1" x14ac:dyDescent="0.3">
      <c r="A46" s="43" t="s">
        <v>11</v>
      </c>
      <c r="B46" s="43" t="s">
        <v>66</v>
      </c>
      <c r="C46" s="20" t="s">
        <v>162</v>
      </c>
      <c r="D46" s="38">
        <v>125</v>
      </c>
      <c r="E46" s="86">
        <f t="array" ref="E46">IF(C46="","",IFERROR(INDEX(Cost!$B$2:$B$4, MATCH("*" &amp; C46 &amp; "*", Cost!$A$2:$A$4, 0)), "Lỗi dữ liệu"))</f>
        <v>1</v>
      </c>
      <c r="F46" s="39" cm="1">
        <f t="array" ref="F46">_xlfn.IFS( C46="Road",LOOKUP(D46,{0,50,150},Cost!$B$8:$B$10), C46="Barge",Cost!$B$11, C46="Rail",Cost!$B$12, TRUE,0 )</f>
        <v>500000</v>
      </c>
      <c r="G46" s="88">
        <f>IF(C46="","",IFERROR(INDEX(Cost!$B$16:$B$18, MATCH("*" &amp; C46 &amp; "*", Cost!$A$2:$A$4, 0)), "Lỗi dữ liệu"))</f>
        <v>6000000</v>
      </c>
      <c r="H46" s="35">
        <v>1</v>
      </c>
      <c r="I46" s="40">
        <v>0</v>
      </c>
      <c r="J46" s="20"/>
      <c r="K46" s="3"/>
      <c r="L46" s="3"/>
      <c r="M46" s="3"/>
      <c r="N46" s="3"/>
      <c r="O46" s="3"/>
      <c r="P46" s="3"/>
      <c r="Q46" s="3"/>
      <c r="R46" s="3"/>
      <c r="S46" s="3"/>
      <c r="T46" s="3"/>
      <c r="U46" s="3"/>
      <c r="V46" s="3"/>
      <c r="W46" s="3"/>
      <c r="X46" s="3"/>
      <c r="Y46" s="3"/>
      <c r="Z46" s="3"/>
    </row>
    <row r="47" spans="1:26" ht="30" customHeight="1" x14ac:dyDescent="0.3">
      <c r="A47" s="43" t="s">
        <v>11</v>
      </c>
      <c r="B47" s="43" t="s">
        <v>66</v>
      </c>
      <c r="C47" s="20" t="s">
        <v>152</v>
      </c>
      <c r="D47" s="38">
        <v>145</v>
      </c>
      <c r="E47" s="86">
        <f t="array" ref="E47">IF(C47="","",IFERROR(INDEX(Cost!$B$2:$B$4, MATCH("*" &amp; C47 &amp; "*", Cost!$A$2:$A$4, 0)), "Lỗi dữ liệu"))</f>
        <v>0.4</v>
      </c>
      <c r="F47" s="39" cm="1">
        <f t="array" ref="F47">_xlfn.IFS( C47="Road",LOOKUP(D47,{0,50,150},Cost!$B$8:$B$10), C47="Barge",Cost!$B$11, C47="Rail",Cost!$B$12, TRUE,0 )</f>
        <v>500000</v>
      </c>
      <c r="G47" s="88">
        <f>IF(C47="","",IFERROR(INDEX(Cost!$B$16:$B$18, MATCH("*" &amp; C47 &amp; "*", Cost!$A$2:$A$4, 0)), "Lỗi dữ liệu"))</f>
        <v>20000000</v>
      </c>
      <c r="H47" s="35">
        <v>1</v>
      </c>
      <c r="I47" s="40">
        <v>0</v>
      </c>
      <c r="J47" s="20"/>
      <c r="K47" s="3"/>
      <c r="L47" s="3"/>
      <c r="M47" s="3"/>
      <c r="N47" s="3"/>
      <c r="O47" s="3"/>
      <c r="P47" s="3"/>
      <c r="Q47" s="3"/>
      <c r="R47" s="3"/>
      <c r="S47" s="3"/>
      <c r="T47" s="3"/>
      <c r="U47" s="3"/>
      <c r="V47" s="3"/>
      <c r="W47" s="3"/>
      <c r="X47" s="3"/>
      <c r="Y47" s="3"/>
      <c r="Z47" s="3"/>
    </row>
    <row r="48" spans="1:26" ht="30" customHeight="1" x14ac:dyDescent="0.3">
      <c r="A48" s="43" t="s">
        <v>11</v>
      </c>
      <c r="B48" s="43" t="s">
        <v>66</v>
      </c>
      <c r="C48" s="20" t="s">
        <v>139</v>
      </c>
      <c r="D48" s="38">
        <v>130</v>
      </c>
      <c r="E48" s="86">
        <f t="array" ref="E48">IF(C48="","",IFERROR(INDEX(Cost!$B$2:$B$4, MATCH("*" &amp; C48 &amp; "*", Cost!$A$2:$A$4, 0)), "Lỗi dữ liệu"))</f>
        <v>0.25</v>
      </c>
      <c r="F48" s="39" cm="1">
        <f t="array" ref="F48">_xlfn.IFS( C48="Road",LOOKUP(D48,{0,50,150},Cost!$B$8:$B$10), C48="Barge",Cost!$B$11, C48="Rail",Cost!$B$12, TRUE,0 )</f>
        <v>1000000</v>
      </c>
      <c r="G48" s="88">
        <f>IF(C48="","",IFERROR(INDEX(Cost!$B$16:$B$18, MATCH("*" &amp; C48 &amp; "*", Cost!$A$2:$A$4, 0)), "Lỗi dữ liệu"))</f>
        <v>80000000</v>
      </c>
      <c r="H48" s="35">
        <v>1</v>
      </c>
      <c r="I48" s="40">
        <v>0</v>
      </c>
      <c r="J48" s="20"/>
      <c r="K48" s="3"/>
      <c r="L48" s="3"/>
      <c r="M48" s="3"/>
      <c r="N48" s="3"/>
      <c r="O48" s="3"/>
      <c r="P48" s="3"/>
      <c r="Q48" s="3"/>
      <c r="R48" s="3"/>
      <c r="S48" s="3"/>
      <c r="T48" s="3"/>
      <c r="U48" s="3"/>
      <c r="V48" s="3"/>
      <c r="W48" s="3"/>
      <c r="X48" s="3"/>
      <c r="Y48" s="3"/>
      <c r="Z48" s="3"/>
    </row>
    <row r="49" spans="1:26" ht="30" customHeight="1" x14ac:dyDescent="0.3">
      <c r="A49" s="43" t="s">
        <v>11</v>
      </c>
      <c r="B49" s="43" t="s">
        <v>82</v>
      </c>
      <c r="C49" s="20" t="s">
        <v>162</v>
      </c>
      <c r="D49" s="38">
        <v>110</v>
      </c>
      <c r="E49" s="86">
        <f t="array" ref="E49">IF(C49="","",IFERROR(INDEX(Cost!$B$2:$B$4, MATCH("*" &amp; C49 &amp; "*", Cost!$A$2:$A$4, 0)), "Lỗi dữ liệu"))</f>
        <v>1</v>
      </c>
      <c r="F49" s="39" cm="1">
        <f t="array" ref="F49">_xlfn.IFS( C49="Road",LOOKUP(D49,{0,50,150},Cost!$B$8:$B$10), C49="Barge",Cost!$B$11, C49="Rail",Cost!$B$12, TRUE,0 )</f>
        <v>500000</v>
      </c>
      <c r="G49" s="88">
        <f>IF(C49="","",IFERROR(INDEX(Cost!$B$16:$B$18, MATCH("*" &amp; C49 &amp; "*", Cost!$A$2:$A$4, 0)), "Lỗi dữ liệu"))</f>
        <v>6000000</v>
      </c>
      <c r="H49" s="35">
        <v>1</v>
      </c>
      <c r="I49" s="40">
        <v>0</v>
      </c>
      <c r="J49" s="20"/>
      <c r="K49" s="41"/>
      <c r="L49" s="41"/>
      <c r="M49" s="41"/>
      <c r="N49" s="41"/>
      <c r="O49" s="41"/>
      <c r="P49" s="41"/>
      <c r="Q49" s="41"/>
      <c r="R49" s="41"/>
      <c r="S49" s="41"/>
      <c r="T49" s="41"/>
      <c r="U49" s="41"/>
      <c r="V49" s="41"/>
      <c r="W49" s="41"/>
      <c r="X49" s="41"/>
      <c r="Y49" s="41"/>
      <c r="Z49" s="41"/>
    </row>
    <row r="50" spans="1:26" ht="30" customHeight="1" x14ac:dyDescent="0.3">
      <c r="A50" s="43" t="s">
        <v>11</v>
      </c>
      <c r="B50" s="43" t="s">
        <v>82</v>
      </c>
      <c r="C50" s="20" t="s">
        <v>139</v>
      </c>
      <c r="D50" s="38">
        <v>115</v>
      </c>
      <c r="E50" s="86">
        <f t="array" ref="E50">IF(C50="","",IFERROR(INDEX(Cost!$B$2:$B$4, MATCH("*" &amp; C50 &amp; "*", Cost!$A$2:$A$4, 0)), "Lỗi dữ liệu"))</f>
        <v>0.25</v>
      </c>
      <c r="F50" s="39" cm="1">
        <f t="array" ref="F50">_xlfn.IFS( C50="Road",LOOKUP(D50,{0,50,150},Cost!$B$8:$B$10), C50="Barge",Cost!$B$11, C50="Rail",Cost!$B$12, TRUE,0 )</f>
        <v>1000000</v>
      </c>
      <c r="G50" s="88">
        <f>IF(C50="","",IFERROR(INDEX(Cost!$B$16:$B$18, MATCH("*" &amp; C50 &amp; "*", Cost!$A$2:$A$4, 0)), "Lỗi dữ liệu"))</f>
        <v>80000000</v>
      </c>
      <c r="H50" s="35">
        <v>1</v>
      </c>
      <c r="I50" s="40">
        <v>0</v>
      </c>
      <c r="J50" s="20"/>
      <c r="K50" s="41"/>
      <c r="L50" s="41"/>
      <c r="M50" s="41"/>
      <c r="N50" s="41"/>
      <c r="O50" s="41"/>
      <c r="P50" s="41"/>
      <c r="Q50" s="41"/>
      <c r="R50" s="41"/>
      <c r="S50" s="41"/>
      <c r="T50" s="41"/>
      <c r="U50" s="41"/>
      <c r="V50" s="41"/>
      <c r="W50" s="41"/>
      <c r="X50" s="41"/>
      <c r="Y50" s="41"/>
      <c r="Z50" s="41"/>
    </row>
    <row r="51" spans="1:26" ht="30" customHeight="1" x14ac:dyDescent="0.3">
      <c r="A51" s="43" t="s">
        <v>11</v>
      </c>
      <c r="B51" s="43" t="s">
        <v>102</v>
      </c>
      <c r="C51" s="20" t="s">
        <v>162</v>
      </c>
      <c r="D51" s="38">
        <v>90</v>
      </c>
      <c r="E51" s="86">
        <f t="array" ref="E51">IF(C51="","",IFERROR(INDEX(Cost!$B$2:$B$4, MATCH("*" &amp; C51 &amp; "*", Cost!$A$2:$A$4, 0)), "Lỗi dữ liệu"))</f>
        <v>1</v>
      </c>
      <c r="F51" s="39" cm="1">
        <f t="array" ref="F51">_xlfn.IFS( C51="Road",LOOKUP(D51,{0,50,150},Cost!$B$8:$B$10), C51="Barge",Cost!$B$11, C51="Rail",Cost!$B$12, TRUE,0 )</f>
        <v>500000</v>
      </c>
      <c r="G51" s="88">
        <f>IF(C51="","",IFERROR(INDEX(Cost!$B$16:$B$18, MATCH("*" &amp; C51 &amp; "*", Cost!$A$2:$A$4, 0)), "Lỗi dữ liệu"))</f>
        <v>6000000</v>
      </c>
      <c r="H51" s="35">
        <v>1</v>
      </c>
      <c r="I51" s="40">
        <v>0</v>
      </c>
      <c r="J51" s="20"/>
      <c r="K51" s="3"/>
      <c r="L51" s="3"/>
      <c r="M51" s="3"/>
      <c r="N51" s="3"/>
      <c r="O51" s="3"/>
      <c r="P51" s="3"/>
      <c r="Q51" s="3"/>
      <c r="R51" s="3"/>
      <c r="S51" s="3"/>
      <c r="T51" s="3"/>
      <c r="U51" s="3"/>
      <c r="V51" s="3"/>
      <c r="W51" s="3"/>
      <c r="X51" s="3"/>
      <c r="Y51" s="3"/>
      <c r="Z51" s="3"/>
    </row>
    <row r="52" spans="1:26" ht="30" customHeight="1" x14ac:dyDescent="0.3">
      <c r="A52" s="43" t="s">
        <v>11</v>
      </c>
      <c r="B52" s="43" t="s">
        <v>102</v>
      </c>
      <c r="C52" s="20" t="s">
        <v>152</v>
      </c>
      <c r="D52" s="38">
        <v>100</v>
      </c>
      <c r="E52" s="86">
        <f t="array" ref="E52">IF(C52="","",IFERROR(INDEX(Cost!$B$2:$B$4, MATCH("*" &amp; C52 &amp; "*", Cost!$A$2:$A$4, 0)), "Lỗi dữ liệu"))</f>
        <v>0.4</v>
      </c>
      <c r="F52" s="39" cm="1">
        <f t="array" ref="F52">_xlfn.IFS( C52="Road",LOOKUP(D52,{0,50,150},Cost!$B$8:$B$10), C52="Barge",Cost!$B$11, C52="Rail",Cost!$B$12, TRUE,0 )</f>
        <v>500000</v>
      </c>
      <c r="G52" s="88">
        <f>IF(C52="","",IFERROR(INDEX(Cost!$B$16:$B$18, MATCH("*" &amp; C52 &amp; "*", Cost!$A$2:$A$4, 0)), "Lỗi dữ liệu"))</f>
        <v>20000000</v>
      </c>
      <c r="H52" s="35">
        <v>1</v>
      </c>
      <c r="I52" s="40">
        <v>0</v>
      </c>
      <c r="J52" s="20"/>
      <c r="K52" s="3"/>
      <c r="L52" s="3"/>
      <c r="M52" s="3"/>
      <c r="N52" s="3"/>
      <c r="O52" s="3"/>
      <c r="P52" s="3"/>
      <c r="Q52" s="3"/>
      <c r="R52" s="3"/>
      <c r="S52" s="3"/>
      <c r="T52" s="3"/>
      <c r="U52" s="3"/>
      <c r="V52" s="3"/>
      <c r="W52" s="3"/>
      <c r="X52" s="3"/>
      <c r="Y52" s="3"/>
      <c r="Z52" s="3"/>
    </row>
    <row r="53" spans="1:26" ht="30" customHeight="1" x14ac:dyDescent="0.3">
      <c r="A53" s="43" t="s">
        <v>11</v>
      </c>
      <c r="B53" s="43" t="s">
        <v>119</v>
      </c>
      <c r="C53" s="20" t="s">
        <v>162</v>
      </c>
      <c r="D53" s="38">
        <v>100</v>
      </c>
      <c r="E53" s="86">
        <f t="array" ref="E53">IF(C53="","",IFERROR(INDEX(Cost!$B$2:$B$4, MATCH("*" &amp; C53 &amp; "*", Cost!$A$2:$A$4, 0)), "Lỗi dữ liệu"))</f>
        <v>1</v>
      </c>
      <c r="F53" s="39" cm="1">
        <f t="array" ref="F53">_xlfn.IFS( C53="Road",LOOKUP(D53,{0,50,150},Cost!$B$8:$B$10), C53="Barge",Cost!$B$11, C53="Rail",Cost!$B$12, TRUE,0 )</f>
        <v>500000</v>
      </c>
      <c r="G53" s="88">
        <f>IF(C53="","",IFERROR(INDEX(Cost!$B$16:$B$18, MATCH("*" &amp; C53 &amp; "*", Cost!$A$2:$A$4, 0)), "Lỗi dữ liệu"))</f>
        <v>6000000</v>
      </c>
      <c r="H53" s="35">
        <v>1</v>
      </c>
      <c r="I53" s="40">
        <v>0</v>
      </c>
      <c r="J53" s="20"/>
      <c r="K53" s="41"/>
      <c r="L53" s="41"/>
      <c r="M53" s="41"/>
      <c r="N53" s="41"/>
      <c r="O53" s="41"/>
      <c r="P53" s="41"/>
      <c r="Q53" s="41"/>
      <c r="R53" s="41"/>
      <c r="S53" s="41"/>
      <c r="T53" s="41"/>
      <c r="U53" s="41"/>
      <c r="V53" s="41"/>
      <c r="W53" s="41"/>
      <c r="X53" s="41"/>
      <c r="Y53" s="41"/>
      <c r="Z53" s="41"/>
    </row>
    <row r="54" spans="1:26" ht="30" customHeight="1" x14ac:dyDescent="0.3">
      <c r="A54" s="43" t="s">
        <v>11</v>
      </c>
      <c r="B54" s="43" t="s">
        <v>119</v>
      </c>
      <c r="C54" s="20" t="s">
        <v>152</v>
      </c>
      <c r="D54" s="38">
        <v>110</v>
      </c>
      <c r="E54" s="86">
        <f t="array" ref="E54">IF(C54="","",IFERROR(INDEX(Cost!$B$2:$B$4, MATCH("*" &amp; C54 &amp; "*", Cost!$A$2:$A$4, 0)), "Lỗi dữ liệu"))</f>
        <v>0.4</v>
      </c>
      <c r="F54" s="39" cm="1">
        <f t="array" ref="F54">_xlfn.IFS( C54="Road",LOOKUP(D54,{0,50,150},Cost!$B$8:$B$10), C54="Barge",Cost!$B$11, C54="Rail",Cost!$B$12, TRUE,0 )</f>
        <v>500000</v>
      </c>
      <c r="G54" s="88">
        <f>IF(C54="","",IFERROR(INDEX(Cost!$B$16:$B$18, MATCH("*" &amp; C54 &amp; "*", Cost!$A$2:$A$4, 0)), "Lỗi dữ liệu"))</f>
        <v>20000000</v>
      </c>
      <c r="H54" s="35">
        <v>1</v>
      </c>
      <c r="I54" s="40">
        <v>0</v>
      </c>
      <c r="J54" s="20"/>
      <c r="K54" s="41"/>
      <c r="L54" s="41"/>
      <c r="M54" s="41"/>
      <c r="N54" s="41"/>
      <c r="O54" s="41"/>
      <c r="P54" s="41"/>
      <c r="Q54" s="41"/>
      <c r="R54" s="41"/>
      <c r="S54" s="41"/>
      <c r="T54" s="41"/>
      <c r="U54" s="41"/>
      <c r="V54" s="41"/>
      <c r="W54" s="41"/>
      <c r="X54" s="41"/>
      <c r="Y54" s="41"/>
      <c r="Z54" s="41"/>
    </row>
    <row r="55" spans="1:26" ht="30" customHeight="1" x14ac:dyDescent="0.3">
      <c r="A55" s="43" t="s">
        <v>11</v>
      </c>
      <c r="B55" s="43" t="s">
        <v>119</v>
      </c>
      <c r="C55" s="20" t="s">
        <v>139</v>
      </c>
      <c r="D55" s="38">
        <v>105</v>
      </c>
      <c r="E55" s="86">
        <f t="array" ref="E55">IF(C55="","",IFERROR(INDEX(Cost!$B$2:$B$4, MATCH("*" &amp; C55 &amp; "*", Cost!$A$2:$A$4, 0)), "Lỗi dữ liệu"))</f>
        <v>0.25</v>
      </c>
      <c r="F55" s="39" cm="1">
        <f t="array" ref="F55">_xlfn.IFS( C55="Road",LOOKUP(D55,{0,50,150},Cost!$B$8:$B$10), C55="Barge",Cost!$B$11, C55="Rail",Cost!$B$12, TRUE,0 )</f>
        <v>1000000</v>
      </c>
      <c r="G55" s="88">
        <f>IF(C55="","",IFERROR(INDEX(Cost!$B$16:$B$18, MATCH("*" &amp; C55 &amp; "*", Cost!$A$2:$A$4, 0)), "Lỗi dữ liệu"))</f>
        <v>80000000</v>
      </c>
      <c r="H55" s="35">
        <v>1</v>
      </c>
      <c r="I55" s="40">
        <v>0</v>
      </c>
      <c r="J55" s="20"/>
      <c r="K55" s="41"/>
      <c r="L55" s="41"/>
      <c r="M55" s="41"/>
      <c r="N55" s="41"/>
      <c r="O55" s="41"/>
      <c r="P55" s="41"/>
      <c r="Q55" s="41"/>
      <c r="R55" s="41"/>
      <c r="S55" s="41"/>
      <c r="T55" s="41"/>
      <c r="U55" s="41"/>
      <c r="V55" s="41"/>
      <c r="W55" s="41"/>
      <c r="X55" s="41"/>
      <c r="Y55" s="41"/>
      <c r="Z55" s="41"/>
    </row>
    <row r="56" spans="1:26" ht="30" customHeight="1" x14ac:dyDescent="0.3">
      <c r="A56" s="43" t="s">
        <v>11</v>
      </c>
      <c r="B56" s="43" t="s">
        <v>126</v>
      </c>
      <c r="C56" s="20" t="s">
        <v>162</v>
      </c>
      <c r="D56" s="38">
        <v>120</v>
      </c>
      <c r="E56" s="86">
        <f t="array" ref="E56">IF(C56="","",IFERROR(INDEX(Cost!$B$2:$B$4, MATCH("*" &amp; C56 &amp; "*", Cost!$A$2:$A$4, 0)), "Lỗi dữ liệu"))</f>
        <v>1</v>
      </c>
      <c r="F56" s="39" cm="1">
        <f t="array" ref="F56">_xlfn.IFS( C56="Road",LOOKUP(D56,{0,50,150},Cost!$B$8:$B$10), C56="Barge",Cost!$B$11, C56="Rail",Cost!$B$12, TRUE,0 )</f>
        <v>500000</v>
      </c>
      <c r="G56" s="88">
        <f>IF(C56="","",IFERROR(INDEX(Cost!$B$16:$B$18, MATCH("*" &amp; C56 &amp; "*", Cost!$A$2:$A$4, 0)), "Lỗi dữ liệu"))</f>
        <v>6000000</v>
      </c>
      <c r="H56" s="35">
        <v>1</v>
      </c>
      <c r="I56" s="40">
        <v>0</v>
      </c>
      <c r="J56" s="20"/>
      <c r="K56" s="3"/>
      <c r="L56" s="3"/>
      <c r="M56" s="3"/>
      <c r="N56" s="3"/>
      <c r="O56" s="3"/>
      <c r="P56" s="3"/>
      <c r="Q56" s="3"/>
      <c r="R56" s="3"/>
      <c r="S56" s="3"/>
      <c r="T56" s="3"/>
      <c r="U56" s="3"/>
      <c r="V56" s="3"/>
      <c r="W56" s="3"/>
      <c r="X56" s="3"/>
      <c r="Y56" s="3"/>
      <c r="Z56" s="3"/>
    </row>
    <row r="57" spans="1:26" ht="30" customHeight="1" x14ac:dyDescent="0.3">
      <c r="A57" s="43" t="s">
        <v>11</v>
      </c>
      <c r="B57" s="43" t="s">
        <v>126</v>
      </c>
      <c r="C57" s="20" t="s">
        <v>152</v>
      </c>
      <c r="D57" s="38">
        <v>140</v>
      </c>
      <c r="E57" s="86">
        <f t="array" ref="E57">IF(C57="","",IFERROR(INDEX(Cost!$B$2:$B$4, MATCH("*" &amp; C57 &amp; "*", Cost!$A$2:$A$4, 0)), "Lỗi dữ liệu"))</f>
        <v>0.4</v>
      </c>
      <c r="F57" s="39" cm="1">
        <f t="array" ref="F57">_xlfn.IFS( C57="Road",LOOKUP(D57,{0,50,150},Cost!$B$8:$B$10), C57="Barge",Cost!$B$11, C57="Rail",Cost!$B$12, TRUE,0 )</f>
        <v>500000</v>
      </c>
      <c r="G57" s="88">
        <f>IF(C57="","",IFERROR(INDEX(Cost!$B$16:$B$18, MATCH("*" &amp; C57 &amp; "*", Cost!$A$2:$A$4, 0)), "Lỗi dữ liệu"))</f>
        <v>20000000</v>
      </c>
      <c r="H57" s="35">
        <v>1</v>
      </c>
      <c r="I57" s="40">
        <v>0</v>
      </c>
      <c r="J57" s="20"/>
      <c r="K57" s="3"/>
      <c r="L57" s="3"/>
      <c r="M57" s="3"/>
      <c r="N57" s="3"/>
      <c r="O57" s="3"/>
      <c r="P57" s="3"/>
      <c r="Q57" s="3"/>
      <c r="R57" s="3"/>
      <c r="S57" s="3"/>
      <c r="T57" s="3"/>
      <c r="U57" s="3"/>
      <c r="V57" s="3"/>
      <c r="W57" s="3"/>
      <c r="X57" s="3"/>
      <c r="Y57" s="3"/>
      <c r="Z57" s="3"/>
    </row>
    <row r="58" spans="1:26" ht="30" customHeight="1" x14ac:dyDescent="0.3">
      <c r="A58" s="43" t="s">
        <v>11</v>
      </c>
      <c r="B58" s="43" t="s">
        <v>126</v>
      </c>
      <c r="C58" s="20" t="s">
        <v>139</v>
      </c>
      <c r="D58" s="38">
        <v>125</v>
      </c>
      <c r="E58" s="86">
        <f t="array" ref="E58">IF(C58="","",IFERROR(INDEX(Cost!$B$2:$B$4, MATCH("*" &amp; C58 &amp; "*", Cost!$A$2:$A$4, 0)), "Lỗi dữ liệu"))</f>
        <v>0.25</v>
      </c>
      <c r="F58" s="39" cm="1">
        <f t="array" ref="F58">_xlfn.IFS( C58="Road",LOOKUP(D58,{0,50,150},Cost!$B$8:$B$10), C58="Barge",Cost!$B$11, C58="Rail",Cost!$B$12, TRUE,0 )</f>
        <v>1000000</v>
      </c>
      <c r="G58" s="88">
        <f>IF(C58="","",IFERROR(INDEX(Cost!$B$16:$B$18, MATCH("*" &amp; C58 &amp; "*", Cost!$A$2:$A$4, 0)), "Lỗi dữ liệu"))</f>
        <v>80000000</v>
      </c>
      <c r="H58" s="35">
        <v>1</v>
      </c>
      <c r="I58" s="40">
        <v>0</v>
      </c>
      <c r="J58" s="20"/>
      <c r="K58" s="3"/>
      <c r="L58" s="3"/>
      <c r="M58" s="3"/>
      <c r="N58" s="3"/>
      <c r="O58" s="3"/>
      <c r="P58" s="3"/>
      <c r="Q58" s="3"/>
      <c r="R58" s="3"/>
      <c r="S58" s="3"/>
      <c r="T58" s="3"/>
      <c r="U58" s="3"/>
      <c r="V58" s="3"/>
      <c r="W58" s="3"/>
      <c r="X58" s="3"/>
      <c r="Y58" s="3"/>
      <c r="Z58" s="3"/>
    </row>
    <row r="59" spans="1:26" ht="30" customHeight="1" x14ac:dyDescent="0.3">
      <c r="A59" s="44" t="s">
        <v>17</v>
      </c>
      <c r="B59" s="44" t="s">
        <v>24</v>
      </c>
      <c r="C59" s="20" t="s">
        <v>162</v>
      </c>
      <c r="D59" s="38">
        <v>40</v>
      </c>
      <c r="E59" s="86">
        <f t="array" ref="E59">IF(C59="","",IFERROR(INDEX(Cost!$B$2:$B$4, MATCH("*" &amp; C59 &amp; "*", Cost!$A$2:$A$4, 0)), "Lỗi dữ liệu"))</f>
        <v>1</v>
      </c>
      <c r="F59" s="39" cm="1">
        <f t="array" ref="F59">_xlfn.IFS( C59="Road",LOOKUP(D59,{0,50,150},Cost!$B$8:$B$10), C59="Barge",Cost!$B$11, C59="Rail",Cost!$B$12, TRUE,0 )</f>
        <v>800000</v>
      </c>
      <c r="G59" s="88">
        <v>0</v>
      </c>
      <c r="H59" s="35">
        <v>1</v>
      </c>
      <c r="I59" s="40">
        <v>1</v>
      </c>
      <c r="J59" s="20"/>
      <c r="K59" s="41"/>
      <c r="L59" s="41"/>
      <c r="M59" s="41"/>
      <c r="N59" s="41"/>
      <c r="O59" s="41"/>
      <c r="P59" s="41"/>
      <c r="Q59" s="41"/>
      <c r="R59" s="41"/>
      <c r="S59" s="41"/>
      <c r="T59" s="41"/>
      <c r="U59" s="41"/>
      <c r="V59" s="41"/>
      <c r="W59" s="41"/>
      <c r="X59" s="41"/>
      <c r="Y59" s="41"/>
      <c r="Z59" s="41"/>
    </row>
    <row r="60" spans="1:26" ht="30" customHeight="1" x14ac:dyDescent="0.3">
      <c r="A60" s="44" t="s">
        <v>17</v>
      </c>
      <c r="B60" s="44" t="s">
        <v>24</v>
      </c>
      <c r="C60" s="20" t="s">
        <v>152</v>
      </c>
      <c r="D60" s="38">
        <v>45</v>
      </c>
      <c r="E60" s="86">
        <f t="array" ref="E60">IF(C60="","",IFERROR(INDEX(Cost!$B$2:$B$4, MATCH("*" &amp; C60 &amp; "*", Cost!$A$2:$A$4, 0)), "Lỗi dữ liệu"))</f>
        <v>0.4</v>
      </c>
      <c r="F60" s="39" cm="1">
        <f t="array" ref="F60">_xlfn.IFS( C60="Road",LOOKUP(D60,{0,50,150},Cost!$B$8:$B$10), C60="Barge",Cost!$B$11, C60="Rail",Cost!$B$12, TRUE,0 )</f>
        <v>500000</v>
      </c>
      <c r="G60" s="88">
        <f>IF(C60="","",IFERROR(INDEX(Cost!$B$16:$B$18, MATCH("*" &amp; C60 &amp; "*", Cost!$A$2:$A$4, 0)), "Lỗi dữ liệu"))</f>
        <v>20000000</v>
      </c>
      <c r="H60" s="35">
        <v>1</v>
      </c>
      <c r="I60" s="40">
        <v>1</v>
      </c>
      <c r="J60" s="20"/>
      <c r="K60" s="41"/>
      <c r="L60" s="41"/>
      <c r="M60" s="41"/>
      <c r="N60" s="41"/>
      <c r="O60" s="41"/>
      <c r="P60" s="41"/>
      <c r="Q60" s="41"/>
      <c r="R60" s="41"/>
      <c r="S60" s="41"/>
      <c r="T60" s="41"/>
      <c r="U60" s="41"/>
      <c r="V60" s="41"/>
      <c r="W60" s="41"/>
      <c r="X60" s="41"/>
      <c r="Y60" s="41"/>
      <c r="Z60" s="41"/>
    </row>
    <row r="61" spans="1:26" ht="30" customHeight="1" x14ac:dyDescent="0.3">
      <c r="A61" s="44" t="s">
        <v>17</v>
      </c>
      <c r="B61" s="44" t="s">
        <v>11</v>
      </c>
      <c r="C61" s="20" t="s">
        <v>162</v>
      </c>
      <c r="D61" s="38">
        <v>15</v>
      </c>
      <c r="E61" s="86">
        <f t="array" ref="E61">IF(C61="","",IFERROR(INDEX(Cost!$B$2:$B$4, MATCH("*" &amp; C61 &amp; "*", Cost!$A$2:$A$4, 0)), "Lỗi dữ liệu"))</f>
        <v>1</v>
      </c>
      <c r="F61" s="39" cm="1">
        <f t="array" ref="F61">_xlfn.IFS( C61="Road",LOOKUP(D61,{0,50,150},Cost!$B$8:$B$10), C61="Barge",Cost!$B$11, C61="Rail",Cost!$B$12, TRUE,0 )</f>
        <v>800000</v>
      </c>
      <c r="G61" s="88">
        <f>IF(C61="","",IFERROR(INDEX(Cost!$B$16:$B$18, MATCH("*" &amp; C61 &amp; "*", Cost!$A$2:$A$4, 0)), "Lỗi dữ liệu"))</f>
        <v>6000000</v>
      </c>
      <c r="H61" s="35">
        <v>1</v>
      </c>
      <c r="I61" s="40">
        <v>0</v>
      </c>
      <c r="J61" s="20"/>
      <c r="K61" s="3"/>
      <c r="L61" s="3"/>
      <c r="M61" s="3"/>
      <c r="N61" s="3"/>
      <c r="O61" s="3"/>
      <c r="P61" s="3"/>
      <c r="Q61" s="3"/>
      <c r="R61" s="3"/>
      <c r="S61" s="3"/>
      <c r="T61" s="3"/>
      <c r="U61" s="3"/>
      <c r="V61" s="3"/>
      <c r="W61" s="3"/>
      <c r="X61" s="3"/>
      <c r="Y61" s="3"/>
      <c r="Z61" s="3"/>
    </row>
    <row r="62" spans="1:26" ht="30" customHeight="1" x14ac:dyDescent="0.3">
      <c r="A62" s="44" t="s">
        <v>17</v>
      </c>
      <c r="B62" s="44" t="s">
        <v>11</v>
      </c>
      <c r="C62" s="20" t="s">
        <v>152</v>
      </c>
      <c r="D62" s="38">
        <v>20</v>
      </c>
      <c r="E62" s="86">
        <f t="array" ref="E62">IF(C62="","",IFERROR(INDEX(Cost!$B$2:$B$4, MATCH("*" &amp; C62 &amp; "*", Cost!$A$2:$A$4, 0)), "Lỗi dữ liệu"))</f>
        <v>0.4</v>
      </c>
      <c r="F62" s="39" cm="1">
        <f t="array" ref="F62">_xlfn.IFS( C62="Road",LOOKUP(D62,{0,50,150},Cost!$B$8:$B$10), C62="Barge",Cost!$B$11, C62="Rail",Cost!$B$12, TRUE,0 )</f>
        <v>500000</v>
      </c>
      <c r="G62" s="88">
        <f>IF(C62="","",IFERROR(INDEX(Cost!$B$16:$B$18, MATCH("*" &amp; C62 &amp; "*", Cost!$A$2:$A$4, 0)), "Lỗi dữ liệu"))</f>
        <v>20000000</v>
      </c>
      <c r="H62" s="35">
        <v>1</v>
      </c>
      <c r="I62" s="40">
        <v>0</v>
      </c>
      <c r="J62" s="20"/>
      <c r="K62" s="3"/>
      <c r="L62" s="3"/>
      <c r="M62" s="3"/>
      <c r="N62" s="3"/>
      <c r="O62" s="3"/>
      <c r="P62" s="3"/>
      <c r="Q62" s="3"/>
      <c r="R62" s="3"/>
      <c r="S62" s="3"/>
      <c r="T62" s="3"/>
      <c r="U62" s="3"/>
      <c r="V62" s="3"/>
      <c r="W62" s="3"/>
      <c r="X62" s="3"/>
      <c r="Y62" s="3"/>
      <c r="Z62" s="3"/>
    </row>
    <row r="63" spans="1:26" ht="30" customHeight="1" x14ac:dyDescent="0.3">
      <c r="A63" s="44" t="s">
        <v>17</v>
      </c>
      <c r="B63" s="44" t="s">
        <v>29</v>
      </c>
      <c r="C63" s="20" t="s">
        <v>162</v>
      </c>
      <c r="D63" s="38">
        <v>20</v>
      </c>
      <c r="E63" s="86">
        <f t="array" ref="E63">IF(C63="","",IFERROR(INDEX(Cost!$B$2:$B$4, MATCH("*" &amp; C63 &amp; "*", Cost!$A$2:$A$4, 0)), "Lỗi dữ liệu"))</f>
        <v>1</v>
      </c>
      <c r="F63" s="39" cm="1">
        <f t="array" ref="F63">_xlfn.IFS( C63="Road",LOOKUP(D63,{0,50,150},Cost!$B$8:$B$10), C63="Barge",Cost!$B$11, C63="Rail",Cost!$B$12, TRUE,0 )</f>
        <v>800000</v>
      </c>
      <c r="G63" s="88">
        <f>IF(C63="","",IFERROR(INDEX(Cost!$B$16:$B$18, MATCH("*" &amp; C63 &amp; "*", Cost!$A$2:$A$4, 0)), "Lỗi dữ liệu"))</f>
        <v>6000000</v>
      </c>
      <c r="H63" s="35">
        <v>1</v>
      </c>
      <c r="I63" s="40">
        <v>0</v>
      </c>
      <c r="J63" s="20"/>
      <c r="K63" s="41"/>
      <c r="L63" s="41"/>
      <c r="M63" s="41"/>
      <c r="N63" s="41"/>
      <c r="O63" s="41"/>
      <c r="P63" s="41"/>
      <c r="Q63" s="41"/>
      <c r="R63" s="41"/>
      <c r="S63" s="41"/>
      <c r="T63" s="41"/>
      <c r="U63" s="41"/>
      <c r="V63" s="41"/>
      <c r="W63" s="41"/>
      <c r="X63" s="41"/>
      <c r="Y63" s="41"/>
      <c r="Z63" s="41"/>
    </row>
    <row r="64" spans="1:26" ht="30" customHeight="1" x14ac:dyDescent="0.3">
      <c r="A64" s="44" t="s">
        <v>17</v>
      </c>
      <c r="B64" s="44" t="s">
        <v>29</v>
      </c>
      <c r="C64" s="20" t="s">
        <v>152</v>
      </c>
      <c r="D64" s="38">
        <v>30</v>
      </c>
      <c r="E64" s="86">
        <f t="array" ref="E64">IF(C64="","",IFERROR(INDEX(Cost!$B$2:$B$4, MATCH("*" &amp; C64 &amp; "*", Cost!$A$2:$A$4, 0)), "Lỗi dữ liệu"))</f>
        <v>0.4</v>
      </c>
      <c r="F64" s="39" cm="1">
        <f t="array" ref="F64">_xlfn.IFS( C64="Road",LOOKUP(D64,{0,50,150},Cost!$B$8:$B$10), C64="Barge",Cost!$B$11, C64="Rail",Cost!$B$12, TRUE,0 )</f>
        <v>500000</v>
      </c>
      <c r="G64" s="88">
        <f>IF(C64="","",IFERROR(INDEX(Cost!$B$16:$B$18, MATCH("*" &amp; C64 &amp; "*", Cost!$A$2:$A$4, 0)), "Lỗi dữ liệu"))</f>
        <v>20000000</v>
      </c>
      <c r="H64" s="35">
        <v>1</v>
      </c>
      <c r="I64" s="40">
        <v>0</v>
      </c>
      <c r="J64" s="20"/>
      <c r="K64" s="41"/>
      <c r="L64" s="41"/>
      <c r="M64" s="41"/>
      <c r="N64" s="41"/>
      <c r="O64" s="41"/>
      <c r="P64" s="41"/>
      <c r="Q64" s="41"/>
      <c r="R64" s="41"/>
      <c r="S64" s="41"/>
      <c r="T64" s="41"/>
      <c r="U64" s="41"/>
      <c r="V64" s="41"/>
      <c r="W64" s="41"/>
      <c r="X64" s="41"/>
      <c r="Y64" s="41"/>
      <c r="Z64" s="41"/>
    </row>
    <row r="65" spans="1:26" ht="30" customHeight="1" x14ac:dyDescent="0.3">
      <c r="A65" s="44" t="s">
        <v>17</v>
      </c>
      <c r="B65" s="44" t="s">
        <v>49</v>
      </c>
      <c r="C65" s="20" t="s">
        <v>162</v>
      </c>
      <c r="D65" s="38">
        <v>120</v>
      </c>
      <c r="E65" s="86">
        <f t="array" ref="E65">IF(C65="","",IFERROR(INDEX(Cost!$B$2:$B$4, MATCH("*" &amp; C65 &amp; "*", Cost!$A$2:$A$4, 0)), "Lỗi dữ liệu"))</f>
        <v>1</v>
      </c>
      <c r="F65" s="39" cm="1">
        <f t="array" ref="F65">_xlfn.IFS( C65="Road",LOOKUP(D65,{0,50,150},Cost!$B$8:$B$10), C65="Barge",Cost!$B$11, C65="Rail",Cost!$B$12, TRUE,0 )</f>
        <v>500000</v>
      </c>
      <c r="G65" s="88">
        <v>0</v>
      </c>
      <c r="H65" s="35">
        <v>1</v>
      </c>
      <c r="I65" s="40">
        <v>0</v>
      </c>
      <c r="J65" s="20"/>
      <c r="K65" s="3"/>
      <c r="L65" s="3"/>
      <c r="M65" s="3"/>
      <c r="N65" s="3"/>
      <c r="O65" s="3"/>
      <c r="P65" s="3"/>
      <c r="Q65" s="3"/>
      <c r="R65" s="3"/>
      <c r="S65" s="3"/>
      <c r="T65" s="3"/>
      <c r="U65" s="3"/>
      <c r="V65" s="3"/>
      <c r="W65" s="3"/>
      <c r="X65" s="3"/>
      <c r="Y65" s="3"/>
      <c r="Z65" s="3"/>
    </row>
    <row r="66" spans="1:26" ht="30" customHeight="1" x14ac:dyDescent="0.3">
      <c r="A66" s="44" t="s">
        <v>17</v>
      </c>
      <c r="B66" s="44" t="s">
        <v>49</v>
      </c>
      <c r="C66" s="20" t="s">
        <v>152</v>
      </c>
      <c r="D66" s="38">
        <v>130</v>
      </c>
      <c r="E66" s="86">
        <f t="array" ref="E66">IF(C66="","",IFERROR(INDEX(Cost!$B$2:$B$4, MATCH("*" &amp; C66 &amp; "*", Cost!$A$2:$A$4, 0)), "Lỗi dữ liệu"))</f>
        <v>0.4</v>
      </c>
      <c r="F66" s="39" cm="1">
        <f t="array" ref="F66">_xlfn.IFS( C66="Road",LOOKUP(D66,{0,50,150},Cost!$B$8:$B$10), C66="Barge",Cost!$B$11, C66="Rail",Cost!$B$12, TRUE,0 )</f>
        <v>500000</v>
      </c>
      <c r="G66" s="88">
        <v>0</v>
      </c>
      <c r="H66" s="35">
        <v>1</v>
      </c>
      <c r="I66" s="40">
        <v>0</v>
      </c>
      <c r="J66" s="20"/>
      <c r="K66" s="3"/>
      <c r="L66" s="3"/>
      <c r="M66" s="3"/>
      <c r="N66" s="3"/>
      <c r="O66" s="3"/>
      <c r="P66" s="3"/>
      <c r="Q66" s="3"/>
      <c r="R66" s="3"/>
      <c r="S66" s="3"/>
      <c r="T66" s="3"/>
      <c r="U66" s="3"/>
      <c r="V66" s="3"/>
      <c r="W66" s="3"/>
      <c r="X66" s="3"/>
      <c r="Y66" s="3"/>
      <c r="Z66" s="3"/>
    </row>
    <row r="67" spans="1:26" ht="30" customHeight="1" x14ac:dyDescent="0.3">
      <c r="A67" s="44" t="s">
        <v>17</v>
      </c>
      <c r="B67" s="44" t="s">
        <v>49</v>
      </c>
      <c r="C67" s="20" t="s">
        <v>139</v>
      </c>
      <c r="D67" s="38">
        <v>125</v>
      </c>
      <c r="E67" s="86">
        <f t="array" ref="E67">IF(C67="","",IFERROR(INDEX(Cost!$B$2:$B$4, MATCH("*" &amp; C67 &amp; "*", Cost!$A$2:$A$4, 0)), "Lỗi dữ liệu"))</f>
        <v>0.25</v>
      </c>
      <c r="F67" s="39" cm="1">
        <f t="array" ref="F67">_xlfn.IFS( C67="Road",LOOKUP(D67,{0,50,150},Cost!$B$8:$B$10), C67="Barge",Cost!$B$11, C67="Rail",Cost!$B$12, TRUE,0 )</f>
        <v>1000000</v>
      </c>
      <c r="G67" s="88">
        <f>IF(C67="","",IFERROR(INDEX(Cost!$B$16:$B$18, MATCH("*" &amp; C67 &amp; "*", Cost!$A$2:$A$4, 0)), "Lỗi dữ liệu"))</f>
        <v>80000000</v>
      </c>
      <c r="H67" s="35">
        <v>1</v>
      </c>
      <c r="I67" s="40">
        <v>0</v>
      </c>
      <c r="J67" s="20"/>
      <c r="K67" s="3"/>
      <c r="L67" s="3"/>
      <c r="M67" s="3"/>
      <c r="N67" s="3"/>
      <c r="O67" s="3"/>
      <c r="P67" s="3"/>
      <c r="Q67" s="3"/>
      <c r="R67" s="3"/>
      <c r="S67" s="3"/>
      <c r="T67" s="3"/>
      <c r="U67" s="3"/>
      <c r="V67" s="3"/>
      <c r="W67" s="3"/>
      <c r="X67" s="3"/>
      <c r="Y67" s="3"/>
      <c r="Z67" s="3"/>
    </row>
    <row r="68" spans="1:26" ht="30" customHeight="1" x14ac:dyDescent="0.3">
      <c r="A68" s="44" t="s">
        <v>17</v>
      </c>
      <c r="B68" s="44" t="s">
        <v>58</v>
      </c>
      <c r="C68" s="20" t="s">
        <v>162</v>
      </c>
      <c r="D68" s="38">
        <v>130</v>
      </c>
      <c r="E68" s="86">
        <f t="array" ref="E68">IF(C68="","",IFERROR(INDEX(Cost!$B$2:$B$4, MATCH("*" &amp; C68 &amp; "*", Cost!$A$2:$A$4, 0)), "Lỗi dữ liệu"))</f>
        <v>1</v>
      </c>
      <c r="F68" s="39" cm="1">
        <f t="array" ref="F68">_xlfn.IFS( C68="Road",LOOKUP(D68,{0,50,150},Cost!$B$8:$B$10), C68="Barge",Cost!$B$11, C68="Rail",Cost!$B$12, TRUE,0 )</f>
        <v>500000</v>
      </c>
      <c r="G68" s="88">
        <f>IF(C68="","",IFERROR(INDEX(Cost!$B$16:$B$18, MATCH("*" &amp; C68 &amp; "*", Cost!$A$2:$A$4, 0)), "Lỗi dữ liệu"))</f>
        <v>6000000</v>
      </c>
      <c r="H68" s="35">
        <v>1</v>
      </c>
      <c r="I68" s="40">
        <v>0</v>
      </c>
      <c r="J68" s="20"/>
      <c r="K68" s="41"/>
      <c r="L68" s="41"/>
      <c r="M68" s="41"/>
      <c r="N68" s="41"/>
      <c r="O68" s="41"/>
      <c r="P68" s="41"/>
      <c r="Q68" s="41"/>
      <c r="R68" s="41"/>
      <c r="S68" s="41"/>
      <c r="T68" s="41"/>
      <c r="U68" s="41"/>
      <c r="V68" s="41"/>
      <c r="W68" s="41"/>
      <c r="X68" s="41"/>
      <c r="Y68" s="41"/>
      <c r="Z68" s="41"/>
    </row>
    <row r="69" spans="1:26" ht="30" customHeight="1" x14ac:dyDescent="0.3">
      <c r="A69" s="44" t="s">
        <v>17</v>
      </c>
      <c r="B69" s="44" t="s">
        <v>58</v>
      </c>
      <c r="C69" s="20" t="s">
        <v>152</v>
      </c>
      <c r="D69" s="38">
        <v>150</v>
      </c>
      <c r="E69" s="86">
        <f t="array" ref="E69">IF(C69="","",IFERROR(INDEX(Cost!$B$2:$B$4, MATCH("*" &amp; C69 &amp; "*", Cost!$A$2:$A$4, 0)), "Lỗi dữ liệu"))</f>
        <v>0.4</v>
      </c>
      <c r="F69" s="39" cm="1">
        <f t="array" ref="F69">_xlfn.IFS( C69="Road",LOOKUP(D69,{0,50,150},Cost!$B$8:$B$10), C69="Barge",Cost!$B$11, C69="Rail",Cost!$B$12, TRUE,0 )</f>
        <v>500000</v>
      </c>
      <c r="G69" s="88">
        <f>IF(C69="","",IFERROR(INDEX(Cost!$B$16:$B$18, MATCH("*" &amp; C69 &amp; "*", Cost!$A$2:$A$4, 0)), "Lỗi dữ liệu"))</f>
        <v>20000000</v>
      </c>
      <c r="H69" s="35">
        <v>1</v>
      </c>
      <c r="I69" s="40">
        <v>0</v>
      </c>
      <c r="J69" s="20"/>
      <c r="K69" s="41"/>
      <c r="L69" s="41"/>
      <c r="M69" s="41"/>
      <c r="N69" s="41"/>
      <c r="O69" s="41"/>
      <c r="P69" s="41"/>
      <c r="Q69" s="41"/>
      <c r="R69" s="41"/>
      <c r="S69" s="41"/>
      <c r="T69" s="41"/>
      <c r="U69" s="41"/>
      <c r="V69" s="41"/>
      <c r="W69" s="41"/>
      <c r="X69" s="41"/>
      <c r="Y69" s="41"/>
      <c r="Z69" s="41"/>
    </row>
    <row r="70" spans="1:26" ht="30" customHeight="1" x14ac:dyDescent="0.3">
      <c r="A70" s="44" t="s">
        <v>17</v>
      </c>
      <c r="B70" s="44" t="s">
        <v>58</v>
      </c>
      <c r="C70" s="20" t="s">
        <v>139</v>
      </c>
      <c r="D70" s="38">
        <v>145</v>
      </c>
      <c r="E70" s="86">
        <f t="array" ref="E70">IF(C70="","",IFERROR(INDEX(Cost!$B$2:$B$4, MATCH("*" &amp; C70 &amp; "*", Cost!$A$2:$A$4, 0)), "Lỗi dữ liệu"))</f>
        <v>0.25</v>
      </c>
      <c r="F70" s="39" cm="1">
        <f t="array" ref="F70">_xlfn.IFS( C70="Road",LOOKUP(D70,{0,50,150},Cost!$B$8:$B$10), C70="Barge",Cost!$B$11, C70="Rail",Cost!$B$12, TRUE,0 )</f>
        <v>1000000</v>
      </c>
      <c r="G70" s="88">
        <f>IF(C70="","",IFERROR(INDEX(Cost!$B$16:$B$18, MATCH("*" &amp; C70 &amp; "*", Cost!$A$2:$A$4, 0)), "Lỗi dữ liệu"))</f>
        <v>80000000</v>
      </c>
      <c r="H70" s="35">
        <v>1</v>
      </c>
      <c r="I70" s="40">
        <v>0</v>
      </c>
      <c r="J70" s="20"/>
      <c r="K70" s="41"/>
      <c r="L70" s="41"/>
      <c r="M70" s="41"/>
      <c r="N70" s="41"/>
      <c r="O70" s="41"/>
      <c r="P70" s="41"/>
      <c r="Q70" s="41"/>
      <c r="R70" s="41"/>
      <c r="S70" s="41"/>
      <c r="T70" s="41"/>
      <c r="U70" s="41"/>
      <c r="V70" s="41"/>
      <c r="W70" s="41"/>
      <c r="X70" s="41"/>
      <c r="Y70" s="41"/>
      <c r="Z70" s="41"/>
    </row>
    <row r="71" spans="1:26" ht="30" customHeight="1" x14ac:dyDescent="0.3">
      <c r="A71" s="44" t="s">
        <v>17</v>
      </c>
      <c r="B71" s="44" t="s">
        <v>63</v>
      </c>
      <c r="C71" s="20" t="s">
        <v>162</v>
      </c>
      <c r="D71" s="38">
        <v>125</v>
      </c>
      <c r="E71" s="86">
        <f t="array" ref="E71">IF(C71="","",IFERROR(INDEX(Cost!$B$2:$B$4, MATCH("*" &amp; C71 &amp; "*", Cost!$A$2:$A$4, 0)), "Lỗi dữ liệu"))</f>
        <v>1</v>
      </c>
      <c r="F71" s="39" cm="1">
        <f t="array" ref="F71">_xlfn.IFS( C71="Road",LOOKUP(D71,{0,50,150},Cost!$B$8:$B$10), C71="Barge",Cost!$B$11, C71="Rail",Cost!$B$12, TRUE,0 )</f>
        <v>500000</v>
      </c>
      <c r="G71" s="88">
        <f>IF(C71="","",IFERROR(INDEX(Cost!$B$16:$B$18, MATCH("*" &amp; C71 &amp; "*", Cost!$A$2:$A$4, 0)), "Lỗi dữ liệu"))</f>
        <v>6000000</v>
      </c>
      <c r="H71" s="35">
        <v>1</v>
      </c>
      <c r="I71" s="40">
        <v>0</v>
      </c>
      <c r="J71" s="20"/>
      <c r="K71" s="3"/>
      <c r="L71" s="3"/>
      <c r="M71" s="3"/>
      <c r="N71" s="3"/>
      <c r="O71" s="3"/>
      <c r="P71" s="3"/>
      <c r="Q71" s="3"/>
      <c r="R71" s="3"/>
      <c r="S71" s="3"/>
      <c r="T71" s="3"/>
      <c r="U71" s="3"/>
      <c r="V71" s="3"/>
      <c r="W71" s="3"/>
      <c r="X71" s="3"/>
      <c r="Y71" s="3"/>
      <c r="Z71" s="3"/>
    </row>
    <row r="72" spans="1:26" ht="30" customHeight="1" x14ac:dyDescent="0.3">
      <c r="A72" s="44" t="s">
        <v>17</v>
      </c>
      <c r="B72" s="44" t="s">
        <v>63</v>
      </c>
      <c r="C72" s="20" t="s">
        <v>152</v>
      </c>
      <c r="D72" s="38">
        <v>135</v>
      </c>
      <c r="E72" s="86">
        <f t="array" ref="E72">IF(C72="","",IFERROR(INDEX(Cost!$B$2:$B$4, MATCH("*" &amp; C72 &amp; "*", Cost!$A$2:$A$4, 0)), "Lỗi dữ liệu"))</f>
        <v>0.4</v>
      </c>
      <c r="F72" s="39" cm="1">
        <f t="array" ref="F72">_xlfn.IFS( C72="Road",LOOKUP(D72,{0,50,150},Cost!$B$8:$B$10), C72="Barge",Cost!$B$11, C72="Rail",Cost!$B$12, TRUE,0 )</f>
        <v>500000</v>
      </c>
      <c r="G72" s="88">
        <f>IF(C72="","",IFERROR(INDEX(Cost!$B$16:$B$18, MATCH("*" &amp; C72 &amp; "*", Cost!$A$2:$A$4, 0)), "Lỗi dữ liệu"))</f>
        <v>20000000</v>
      </c>
      <c r="H72" s="35">
        <v>1</v>
      </c>
      <c r="I72" s="40">
        <v>0</v>
      </c>
      <c r="J72" s="20"/>
      <c r="K72" s="3"/>
      <c r="L72" s="3"/>
      <c r="M72" s="3"/>
      <c r="N72" s="3"/>
      <c r="O72" s="3"/>
      <c r="P72" s="3"/>
      <c r="Q72" s="3"/>
      <c r="R72" s="3"/>
      <c r="S72" s="3"/>
      <c r="T72" s="3"/>
      <c r="U72" s="3"/>
      <c r="V72" s="3"/>
      <c r="W72" s="3"/>
      <c r="X72" s="3"/>
      <c r="Y72" s="3"/>
      <c r="Z72" s="3"/>
    </row>
    <row r="73" spans="1:26" ht="30" customHeight="1" x14ac:dyDescent="0.3">
      <c r="A73" s="44" t="s">
        <v>17</v>
      </c>
      <c r="B73" s="44" t="s">
        <v>63</v>
      </c>
      <c r="C73" s="20" t="s">
        <v>139</v>
      </c>
      <c r="D73" s="38">
        <v>140</v>
      </c>
      <c r="E73" s="86">
        <f t="array" ref="E73">IF(C73="","",IFERROR(INDEX(Cost!$B$2:$B$4, MATCH("*" &amp; C73 &amp; "*", Cost!$A$2:$A$4, 0)), "Lỗi dữ liệu"))</f>
        <v>0.25</v>
      </c>
      <c r="F73" s="39" cm="1">
        <f t="array" ref="F73">_xlfn.IFS( C73="Road",LOOKUP(D73,{0,50,150},Cost!$B$8:$B$10), C73="Barge",Cost!$B$11, C73="Rail",Cost!$B$12, TRUE,0 )</f>
        <v>1000000</v>
      </c>
      <c r="G73" s="88">
        <f>IF(C73="","",IFERROR(INDEX(Cost!$B$16:$B$18, MATCH("*" &amp; C73 &amp; "*", Cost!$A$2:$A$4, 0)), "Lỗi dữ liệu"))</f>
        <v>80000000</v>
      </c>
      <c r="H73" s="35">
        <v>1</v>
      </c>
      <c r="I73" s="40">
        <v>0</v>
      </c>
      <c r="J73" s="20"/>
      <c r="K73" s="3"/>
      <c r="L73" s="3"/>
      <c r="M73" s="3"/>
      <c r="N73" s="3"/>
      <c r="O73" s="3"/>
      <c r="P73" s="3"/>
      <c r="Q73" s="3"/>
      <c r="R73" s="3"/>
      <c r="S73" s="3"/>
      <c r="T73" s="3"/>
      <c r="U73" s="3"/>
      <c r="V73" s="3"/>
      <c r="W73" s="3"/>
      <c r="X73" s="3"/>
      <c r="Y73" s="3"/>
      <c r="Z73" s="3"/>
    </row>
    <row r="74" spans="1:26" ht="30" customHeight="1" x14ac:dyDescent="0.3">
      <c r="A74" s="44" t="s">
        <v>17</v>
      </c>
      <c r="B74" s="44" t="s">
        <v>66</v>
      </c>
      <c r="C74" s="20" t="s">
        <v>162</v>
      </c>
      <c r="D74" s="38">
        <v>135</v>
      </c>
      <c r="E74" s="86">
        <f t="array" ref="E74">IF(C74="","",IFERROR(INDEX(Cost!$B$2:$B$4, MATCH("*" &amp; C74 &amp; "*", Cost!$A$2:$A$4, 0)), "Lỗi dữ liệu"))</f>
        <v>1</v>
      </c>
      <c r="F74" s="39" cm="1">
        <f t="array" ref="F74">_xlfn.IFS( C74="Road",LOOKUP(D74,{0,50,150},Cost!$B$8:$B$10), C74="Barge",Cost!$B$11, C74="Rail",Cost!$B$12, TRUE,0 )</f>
        <v>500000</v>
      </c>
      <c r="G74" s="88">
        <f>IF(C74="","",IFERROR(INDEX(Cost!$B$16:$B$18, MATCH("*" &amp; C74 &amp; "*", Cost!$A$2:$A$4, 0)), "Lỗi dữ liệu"))</f>
        <v>6000000</v>
      </c>
      <c r="H74" s="35">
        <v>1</v>
      </c>
      <c r="I74" s="40">
        <v>0</v>
      </c>
      <c r="J74" s="20"/>
      <c r="K74" s="41"/>
      <c r="L74" s="41"/>
      <c r="M74" s="41"/>
      <c r="N74" s="41"/>
      <c r="O74" s="41"/>
      <c r="P74" s="41"/>
      <c r="Q74" s="41"/>
      <c r="R74" s="41"/>
      <c r="S74" s="41"/>
      <c r="T74" s="41"/>
      <c r="U74" s="41"/>
      <c r="V74" s="41"/>
      <c r="W74" s="41"/>
      <c r="X74" s="41"/>
      <c r="Y74" s="41"/>
      <c r="Z74" s="41"/>
    </row>
    <row r="75" spans="1:26" ht="30" customHeight="1" x14ac:dyDescent="0.3">
      <c r="A75" s="44" t="s">
        <v>17</v>
      </c>
      <c r="B75" s="44" t="s">
        <v>66</v>
      </c>
      <c r="C75" s="20" t="s">
        <v>152</v>
      </c>
      <c r="D75" s="38">
        <v>155</v>
      </c>
      <c r="E75" s="86">
        <f t="array" ref="E75">IF(C75="","",IFERROR(INDEX(Cost!$B$2:$B$4, MATCH("*" &amp; C75 &amp; "*", Cost!$A$2:$A$4, 0)), "Lỗi dữ liệu"))</f>
        <v>0.4</v>
      </c>
      <c r="F75" s="39" cm="1">
        <f t="array" ref="F75">_xlfn.IFS( C75="Road",LOOKUP(D75,{0,50,150},Cost!$B$8:$B$10), C75="Barge",Cost!$B$11, C75="Rail",Cost!$B$12, TRUE,0 )</f>
        <v>500000</v>
      </c>
      <c r="G75" s="88">
        <f>IF(C75="","",IFERROR(INDEX(Cost!$B$16:$B$18, MATCH("*" &amp; C75 &amp; "*", Cost!$A$2:$A$4, 0)), "Lỗi dữ liệu"))</f>
        <v>20000000</v>
      </c>
      <c r="H75" s="35">
        <v>1</v>
      </c>
      <c r="I75" s="40">
        <v>0</v>
      </c>
      <c r="J75" s="20"/>
      <c r="K75" s="41"/>
      <c r="L75" s="41"/>
      <c r="M75" s="41"/>
      <c r="N75" s="41"/>
      <c r="O75" s="41"/>
      <c r="P75" s="41"/>
      <c r="Q75" s="41"/>
      <c r="R75" s="41"/>
      <c r="S75" s="41"/>
      <c r="T75" s="41"/>
      <c r="U75" s="41"/>
      <c r="V75" s="41"/>
      <c r="W75" s="41"/>
      <c r="X75" s="41"/>
      <c r="Y75" s="41"/>
      <c r="Z75" s="41"/>
    </row>
    <row r="76" spans="1:26" ht="30" customHeight="1" x14ac:dyDescent="0.3">
      <c r="A76" s="44" t="s">
        <v>17</v>
      </c>
      <c r="B76" s="44" t="s">
        <v>66</v>
      </c>
      <c r="C76" s="20" t="s">
        <v>139</v>
      </c>
      <c r="D76" s="38">
        <v>140</v>
      </c>
      <c r="E76" s="86">
        <f t="array" ref="E76">IF(C76="","",IFERROR(INDEX(Cost!$B$2:$B$4, MATCH("*" &amp; C76 &amp; "*", Cost!$A$2:$A$4, 0)), "Lỗi dữ liệu"))</f>
        <v>0.25</v>
      </c>
      <c r="F76" s="39" cm="1">
        <f t="array" ref="F76">_xlfn.IFS( C76="Road",LOOKUP(D76,{0,50,150},Cost!$B$8:$B$10), C76="Barge",Cost!$B$11, C76="Rail",Cost!$B$12, TRUE,0 )</f>
        <v>1000000</v>
      </c>
      <c r="G76" s="88">
        <f>IF(C76="","",IFERROR(INDEX(Cost!$B$16:$B$18, MATCH("*" &amp; C76 &amp; "*", Cost!$A$2:$A$4, 0)), "Lỗi dữ liệu"))</f>
        <v>80000000</v>
      </c>
      <c r="H76" s="35">
        <v>1</v>
      </c>
      <c r="I76" s="40">
        <v>0</v>
      </c>
      <c r="J76" s="20"/>
      <c r="K76" s="41"/>
      <c r="L76" s="41"/>
      <c r="M76" s="41"/>
      <c r="N76" s="41"/>
      <c r="O76" s="41"/>
      <c r="P76" s="41"/>
      <c r="Q76" s="41"/>
      <c r="R76" s="41"/>
      <c r="S76" s="41"/>
      <c r="T76" s="41"/>
      <c r="U76" s="41"/>
      <c r="V76" s="41"/>
      <c r="W76" s="41"/>
      <c r="X76" s="41"/>
      <c r="Y76" s="41"/>
      <c r="Z76" s="41"/>
    </row>
    <row r="77" spans="1:26" ht="30" customHeight="1" x14ac:dyDescent="0.3">
      <c r="A77" s="44" t="s">
        <v>17</v>
      </c>
      <c r="B77" s="44" t="s">
        <v>82</v>
      </c>
      <c r="C77" s="20" t="s">
        <v>162</v>
      </c>
      <c r="D77" s="38">
        <v>120</v>
      </c>
      <c r="E77" s="86">
        <f t="array" ref="E77">IF(C77="","",IFERROR(INDEX(Cost!$B$2:$B$4, MATCH("*" &amp; C77 &amp; "*", Cost!$A$2:$A$4, 0)), "Lỗi dữ liệu"))</f>
        <v>1</v>
      </c>
      <c r="F77" s="39" cm="1">
        <f t="array" ref="F77">_xlfn.IFS( C77="Road",LOOKUP(D77,{0,50,150},Cost!$B$8:$B$10), C77="Barge",Cost!$B$11, C77="Rail",Cost!$B$12, TRUE,0 )</f>
        <v>500000</v>
      </c>
      <c r="G77" s="88">
        <f>IF(C77="","",IFERROR(INDEX(Cost!$B$16:$B$18, MATCH("*" &amp; C77 &amp; "*", Cost!$A$2:$A$4, 0)), "Lỗi dữ liệu"))</f>
        <v>6000000</v>
      </c>
      <c r="H77" s="35">
        <v>1</v>
      </c>
      <c r="I77" s="40">
        <v>0</v>
      </c>
      <c r="J77" s="20"/>
      <c r="K77" s="3"/>
      <c r="L77" s="3"/>
      <c r="M77" s="3"/>
      <c r="N77" s="3"/>
      <c r="O77" s="3"/>
      <c r="P77" s="3"/>
      <c r="Q77" s="3"/>
      <c r="R77" s="3"/>
      <c r="S77" s="3"/>
      <c r="T77" s="3"/>
      <c r="U77" s="3"/>
      <c r="V77" s="3"/>
      <c r="W77" s="3"/>
      <c r="X77" s="3"/>
      <c r="Y77" s="3"/>
      <c r="Z77" s="3"/>
    </row>
    <row r="78" spans="1:26" ht="30" customHeight="1" x14ac:dyDescent="0.3">
      <c r="A78" s="44" t="s">
        <v>17</v>
      </c>
      <c r="B78" s="44" t="s">
        <v>82</v>
      </c>
      <c r="C78" s="37" t="s">
        <v>139</v>
      </c>
      <c r="D78" s="45">
        <v>125</v>
      </c>
      <c r="E78" s="86">
        <f t="array" ref="E78">IF(C78="","",IFERROR(INDEX(Cost!$B$2:$B$4, MATCH("*" &amp; C78 &amp; "*", Cost!$A$2:$A$4, 0)), "Lỗi dữ liệu"))</f>
        <v>0.25</v>
      </c>
      <c r="F78" s="39" cm="1">
        <f t="array" ref="F78">_xlfn.IFS( C78="Road",LOOKUP(D78,{0,50,150},Cost!$B$8:$B$10), C78="Barge",Cost!$B$11, C78="Rail",Cost!$B$12, TRUE,0 )</f>
        <v>1000000</v>
      </c>
      <c r="G78" s="88">
        <f>IF(C78="","",IFERROR(INDEX(Cost!$B$16:$B$18, MATCH("*" &amp; C78 &amp; "*", Cost!$A$2:$A$4, 0)), "Lỗi dữ liệu"))</f>
        <v>80000000</v>
      </c>
      <c r="H78" s="35">
        <v>1</v>
      </c>
      <c r="I78" s="40">
        <v>0</v>
      </c>
      <c r="J78" s="45"/>
      <c r="K78" s="3"/>
      <c r="L78" s="3"/>
      <c r="M78" s="3"/>
      <c r="N78" s="3"/>
      <c r="O78" s="3"/>
      <c r="P78" s="3"/>
      <c r="Q78" s="3"/>
      <c r="R78" s="3"/>
      <c r="S78" s="3"/>
      <c r="T78" s="3"/>
      <c r="U78" s="3"/>
      <c r="V78" s="3"/>
      <c r="W78" s="3"/>
      <c r="X78" s="3"/>
      <c r="Y78" s="3"/>
      <c r="Z78" s="3"/>
    </row>
    <row r="79" spans="1:26" ht="30" customHeight="1" x14ac:dyDescent="0.3">
      <c r="A79" s="44" t="s">
        <v>17</v>
      </c>
      <c r="B79" s="44" t="s">
        <v>102</v>
      </c>
      <c r="C79" s="37" t="s">
        <v>162</v>
      </c>
      <c r="D79" s="45">
        <v>100</v>
      </c>
      <c r="E79" s="86">
        <f t="array" ref="E79">IF(C79="","",IFERROR(INDEX(Cost!$B$2:$B$4, MATCH("*" &amp; C79 &amp; "*", Cost!$A$2:$A$4, 0)), "Lỗi dữ liệu"))</f>
        <v>1</v>
      </c>
      <c r="F79" s="39" cm="1">
        <f t="array" ref="F79">_xlfn.IFS( C79="Road",LOOKUP(D79,{0,50,150},Cost!$B$8:$B$10), C79="Barge",Cost!$B$11, C79="Rail",Cost!$B$12, TRUE,0 )</f>
        <v>500000</v>
      </c>
      <c r="G79" s="88">
        <v>0</v>
      </c>
      <c r="H79" s="35">
        <v>1</v>
      </c>
      <c r="I79" s="40">
        <v>0</v>
      </c>
      <c r="J79" s="45"/>
      <c r="K79" s="41"/>
      <c r="L79" s="41"/>
      <c r="M79" s="41"/>
      <c r="N79" s="41"/>
      <c r="O79" s="41"/>
      <c r="P79" s="41"/>
      <c r="Q79" s="41"/>
      <c r="R79" s="41"/>
      <c r="S79" s="41"/>
      <c r="T79" s="41"/>
      <c r="U79" s="41"/>
      <c r="V79" s="41"/>
      <c r="W79" s="41"/>
      <c r="X79" s="41"/>
      <c r="Y79" s="41"/>
      <c r="Z79" s="41"/>
    </row>
    <row r="80" spans="1:26" ht="30" customHeight="1" x14ac:dyDescent="0.3">
      <c r="A80" s="44" t="s">
        <v>17</v>
      </c>
      <c r="B80" s="44" t="s">
        <v>102</v>
      </c>
      <c r="C80" s="37" t="s">
        <v>152</v>
      </c>
      <c r="D80" s="45">
        <v>110</v>
      </c>
      <c r="E80" s="86">
        <f t="array" ref="E80">IF(C80="","",IFERROR(INDEX(Cost!$B$2:$B$4, MATCH("*" &amp; C80 &amp; "*", Cost!$A$2:$A$4, 0)), "Lỗi dữ liệu"))</f>
        <v>0.4</v>
      </c>
      <c r="F80" s="39" cm="1">
        <f t="array" ref="F80">_xlfn.IFS( C80="Road",LOOKUP(D80,{0,50,150},Cost!$B$8:$B$10), C80="Barge",Cost!$B$11, C80="Rail",Cost!$B$12, TRUE,0 )</f>
        <v>500000</v>
      </c>
      <c r="G80" s="88">
        <f>IF(C80="","",IFERROR(INDEX(Cost!$B$16:$B$18, MATCH("*" &amp; C80 &amp; "*", Cost!$A$2:$A$4, 0)), "Lỗi dữ liệu"))</f>
        <v>20000000</v>
      </c>
      <c r="H80" s="35">
        <v>1</v>
      </c>
      <c r="I80" s="40">
        <v>0</v>
      </c>
      <c r="J80" s="45"/>
      <c r="K80" s="41"/>
      <c r="L80" s="41"/>
      <c r="M80" s="41"/>
      <c r="N80" s="41"/>
      <c r="O80" s="41"/>
      <c r="P80" s="41"/>
      <c r="Q80" s="41"/>
      <c r="R80" s="41"/>
      <c r="S80" s="41"/>
      <c r="T80" s="41"/>
      <c r="U80" s="41"/>
      <c r="V80" s="41"/>
      <c r="W80" s="41"/>
      <c r="X80" s="41"/>
      <c r="Y80" s="41"/>
      <c r="Z80" s="41"/>
    </row>
    <row r="81" spans="1:26" ht="30" customHeight="1" x14ac:dyDescent="0.3">
      <c r="A81" s="44" t="s">
        <v>17</v>
      </c>
      <c r="B81" s="44" t="s">
        <v>119</v>
      </c>
      <c r="C81" s="37" t="s">
        <v>162</v>
      </c>
      <c r="D81" s="45">
        <v>110</v>
      </c>
      <c r="E81" s="86">
        <f t="array" ref="E81">IF(C81="","",IFERROR(INDEX(Cost!$B$2:$B$4, MATCH("*" &amp; C81 &amp; "*", Cost!$A$2:$A$4, 0)), "Lỗi dữ liệu"))</f>
        <v>1</v>
      </c>
      <c r="F81" s="39" cm="1">
        <f t="array" ref="F81">_xlfn.IFS( C81="Road",LOOKUP(D81,{0,50,150},Cost!$B$8:$B$10), C81="Barge",Cost!$B$11, C81="Rail",Cost!$B$12, TRUE,0 )</f>
        <v>500000</v>
      </c>
      <c r="G81" s="88">
        <f>IF(C81="","",IFERROR(INDEX(Cost!$B$16:$B$18, MATCH("*" &amp; C81 &amp; "*", Cost!$A$2:$A$4, 0)), "Lỗi dữ liệu"))</f>
        <v>6000000</v>
      </c>
      <c r="H81" s="35">
        <v>1</v>
      </c>
      <c r="I81" s="40">
        <v>0</v>
      </c>
      <c r="J81" s="45"/>
      <c r="K81" s="3"/>
      <c r="L81" s="3"/>
      <c r="M81" s="3"/>
      <c r="N81" s="3"/>
      <c r="O81" s="3"/>
      <c r="P81" s="3"/>
      <c r="Q81" s="3"/>
      <c r="R81" s="3"/>
      <c r="S81" s="3"/>
      <c r="T81" s="3"/>
      <c r="U81" s="3"/>
      <c r="V81" s="3"/>
      <c r="W81" s="3"/>
      <c r="X81" s="3"/>
      <c r="Y81" s="3"/>
      <c r="Z81" s="3"/>
    </row>
    <row r="82" spans="1:26" ht="30" customHeight="1" x14ac:dyDescent="0.3">
      <c r="A82" s="44" t="s">
        <v>17</v>
      </c>
      <c r="B82" s="44" t="s">
        <v>119</v>
      </c>
      <c r="C82" s="37" t="s">
        <v>152</v>
      </c>
      <c r="D82" s="45">
        <v>120</v>
      </c>
      <c r="E82" s="86">
        <f t="array" ref="E82">IF(C82="","",IFERROR(INDEX(Cost!$B$2:$B$4, MATCH("*" &amp; C82 &amp; "*", Cost!$A$2:$A$4, 0)), "Lỗi dữ liệu"))</f>
        <v>0.4</v>
      </c>
      <c r="F82" s="39" cm="1">
        <f t="array" ref="F82">_xlfn.IFS( C82="Road",LOOKUP(D82,{0,50,150},Cost!$B$8:$B$10), C82="Barge",Cost!$B$11, C82="Rail",Cost!$B$12, TRUE,0 )</f>
        <v>500000</v>
      </c>
      <c r="G82" s="88">
        <f>IF(C82="","",IFERROR(INDEX(Cost!$B$16:$B$18, MATCH("*" &amp; C82 &amp; "*", Cost!$A$2:$A$4, 0)), "Lỗi dữ liệu"))</f>
        <v>20000000</v>
      </c>
      <c r="H82" s="35">
        <v>1</v>
      </c>
      <c r="I82" s="40">
        <v>0</v>
      </c>
      <c r="J82" s="45"/>
      <c r="K82" s="3"/>
      <c r="L82" s="3"/>
      <c r="M82" s="3"/>
      <c r="N82" s="3"/>
      <c r="O82" s="3"/>
      <c r="P82" s="3"/>
      <c r="Q82" s="3"/>
      <c r="R82" s="3"/>
      <c r="S82" s="3"/>
      <c r="T82" s="3"/>
      <c r="U82" s="3"/>
      <c r="V82" s="3"/>
      <c r="W82" s="3"/>
      <c r="X82" s="3"/>
      <c r="Y82" s="3"/>
      <c r="Z82" s="3"/>
    </row>
    <row r="83" spans="1:26" ht="30" customHeight="1" x14ac:dyDescent="0.3">
      <c r="A83" s="44" t="s">
        <v>17</v>
      </c>
      <c r="B83" s="44" t="s">
        <v>119</v>
      </c>
      <c r="C83" s="20" t="s">
        <v>139</v>
      </c>
      <c r="D83" s="45">
        <v>115</v>
      </c>
      <c r="E83" s="86">
        <f t="array" ref="E83">IF(C83="","",IFERROR(INDEX(Cost!$B$2:$B$4, MATCH("*" &amp; C83 &amp; "*", Cost!$A$2:$A$4, 0)), "Lỗi dữ liệu"))</f>
        <v>0.25</v>
      </c>
      <c r="F83" s="39" cm="1">
        <f t="array" ref="F83">_xlfn.IFS( C83="Road",LOOKUP(D83,{0,50,150},Cost!$B$8:$B$10), C83="Barge",Cost!$B$11, C83="Rail",Cost!$B$12, TRUE,0 )</f>
        <v>1000000</v>
      </c>
      <c r="G83" s="88">
        <f>IF(C83="","",IFERROR(INDEX(Cost!$B$16:$B$18, MATCH("*" &amp; C83 &amp; "*", Cost!$A$2:$A$4, 0)), "Lỗi dữ liệu"))</f>
        <v>80000000</v>
      </c>
      <c r="H83" s="35">
        <v>1</v>
      </c>
      <c r="I83" s="40">
        <v>0</v>
      </c>
      <c r="J83" s="45"/>
      <c r="K83" s="3"/>
      <c r="L83" s="3"/>
      <c r="M83" s="3"/>
      <c r="N83" s="3"/>
      <c r="O83" s="3"/>
      <c r="P83" s="3"/>
      <c r="Q83" s="3"/>
      <c r="R83" s="3"/>
      <c r="S83" s="3"/>
      <c r="T83" s="3"/>
      <c r="U83" s="3"/>
      <c r="V83" s="3"/>
      <c r="W83" s="3"/>
      <c r="X83" s="3"/>
      <c r="Y83" s="3"/>
      <c r="Z83" s="3"/>
    </row>
    <row r="84" spans="1:26" ht="30" customHeight="1" x14ac:dyDescent="0.3">
      <c r="A84" s="44" t="s">
        <v>17</v>
      </c>
      <c r="B84" s="44" t="s">
        <v>126</v>
      </c>
      <c r="C84" s="37" t="s">
        <v>162</v>
      </c>
      <c r="D84" s="45">
        <v>130</v>
      </c>
      <c r="E84" s="86">
        <f t="array" ref="E84">IF(C84="","",IFERROR(INDEX(Cost!$B$2:$B$4, MATCH("*" &amp; C84 &amp; "*", Cost!$A$2:$A$4, 0)), "Lỗi dữ liệu"))</f>
        <v>1</v>
      </c>
      <c r="F84" s="39" cm="1">
        <f t="array" ref="F84">_xlfn.IFS( C84="Road",LOOKUP(D84,{0,50,150},Cost!$B$8:$B$10), C84="Barge",Cost!$B$11, C84="Rail",Cost!$B$12, TRUE,0 )</f>
        <v>500000</v>
      </c>
      <c r="G84" s="88">
        <f>IF(C84="","",IFERROR(INDEX(Cost!$B$16:$B$18, MATCH("*" &amp; C84 &amp; "*", Cost!$A$2:$A$4, 0)), "Lỗi dữ liệu"))</f>
        <v>6000000</v>
      </c>
      <c r="H84" s="35">
        <v>1</v>
      </c>
      <c r="I84" s="40">
        <v>0</v>
      </c>
      <c r="J84" s="45"/>
      <c r="K84" s="41"/>
      <c r="L84" s="41"/>
      <c r="M84" s="41"/>
      <c r="N84" s="41"/>
      <c r="O84" s="41"/>
      <c r="P84" s="41"/>
      <c r="Q84" s="41"/>
      <c r="R84" s="41"/>
      <c r="S84" s="41"/>
      <c r="T84" s="41"/>
      <c r="U84" s="41"/>
      <c r="V84" s="41"/>
      <c r="W84" s="41"/>
      <c r="X84" s="41"/>
      <c r="Y84" s="41"/>
      <c r="Z84" s="41"/>
    </row>
    <row r="85" spans="1:26" ht="30" customHeight="1" x14ac:dyDescent="0.3">
      <c r="A85" s="44" t="s">
        <v>17</v>
      </c>
      <c r="B85" s="44" t="s">
        <v>126</v>
      </c>
      <c r="C85" s="20" t="s">
        <v>152</v>
      </c>
      <c r="D85" s="45">
        <v>150</v>
      </c>
      <c r="E85" s="86">
        <f t="array" ref="E85">IF(C85="","",IFERROR(INDEX(Cost!$B$2:$B$4, MATCH("*" &amp; C85 &amp; "*", Cost!$A$2:$A$4, 0)), "Lỗi dữ liệu"))</f>
        <v>0.4</v>
      </c>
      <c r="F85" s="39" cm="1">
        <f t="array" ref="F85">_xlfn.IFS( C85="Road",LOOKUP(D85,{0,50,150},Cost!$B$8:$B$10), C85="Barge",Cost!$B$11, C85="Rail",Cost!$B$12, TRUE,0 )</f>
        <v>500000</v>
      </c>
      <c r="G85" s="88">
        <f>IF(C85="","",IFERROR(INDEX(Cost!$B$16:$B$18, MATCH("*" &amp; C85 &amp; "*", Cost!$A$2:$A$4, 0)), "Lỗi dữ liệu"))</f>
        <v>20000000</v>
      </c>
      <c r="H85" s="35">
        <v>1</v>
      </c>
      <c r="I85" s="40">
        <v>0</v>
      </c>
      <c r="J85" s="45"/>
      <c r="K85" s="41"/>
      <c r="L85" s="41"/>
      <c r="M85" s="41"/>
      <c r="N85" s="41"/>
      <c r="O85" s="41"/>
      <c r="P85" s="41"/>
      <c r="Q85" s="41"/>
      <c r="R85" s="41"/>
      <c r="S85" s="41"/>
      <c r="T85" s="41"/>
      <c r="U85" s="41"/>
      <c r="V85" s="41"/>
      <c r="W85" s="41"/>
      <c r="X85" s="41"/>
      <c r="Y85" s="41"/>
      <c r="Z85" s="41"/>
    </row>
    <row r="86" spans="1:26" ht="30" customHeight="1" x14ac:dyDescent="0.3">
      <c r="A86" s="44" t="s">
        <v>17</v>
      </c>
      <c r="B86" s="44" t="s">
        <v>126</v>
      </c>
      <c r="C86" s="20" t="s">
        <v>139</v>
      </c>
      <c r="D86" s="45">
        <v>145</v>
      </c>
      <c r="E86" s="86">
        <f t="array" ref="E86">IF(C86="","",IFERROR(INDEX(Cost!$B$2:$B$4, MATCH("*" &amp; C86 &amp; "*", Cost!$A$2:$A$4, 0)), "Lỗi dữ liệu"))</f>
        <v>0.25</v>
      </c>
      <c r="F86" s="39" cm="1">
        <f t="array" ref="F86">_xlfn.IFS( C86="Road",LOOKUP(D86,{0,50,150},Cost!$B$8:$B$10), C86="Barge",Cost!$B$11, C86="Rail",Cost!$B$12, TRUE,0 )</f>
        <v>1000000</v>
      </c>
      <c r="G86" s="88">
        <f>IF(C86="","",IFERROR(INDEX(Cost!$B$16:$B$18, MATCH("*" &amp; C86 &amp; "*", Cost!$A$2:$A$4, 0)), "Lỗi dữ liệu"))</f>
        <v>80000000</v>
      </c>
      <c r="H86" s="35">
        <v>1</v>
      </c>
      <c r="I86" s="40">
        <v>0</v>
      </c>
      <c r="J86" s="45"/>
      <c r="K86" s="41"/>
      <c r="L86" s="41"/>
      <c r="M86" s="41"/>
      <c r="N86" s="41"/>
      <c r="O86" s="41"/>
      <c r="P86" s="41"/>
      <c r="Q86" s="41"/>
      <c r="R86" s="41"/>
      <c r="S86" s="41"/>
      <c r="T86" s="41"/>
      <c r="U86" s="41"/>
      <c r="V86" s="41"/>
      <c r="W86" s="41"/>
      <c r="X86" s="41"/>
      <c r="Y86" s="41"/>
      <c r="Z86" s="41"/>
    </row>
    <row r="87" spans="1:26" ht="30" customHeight="1" x14ac:dyDescent="0.3">
      <c r="A87" s="46" t="s">
        <v>29</v>
      </c>
      <c r="B87" s="46" t="s">
        <v>24</v>
      </c>
      <c r="C87" s="20" t="s">
        <v>162</v>
      </c>
      <c r="D87" s="45">
        <v>35</v>
      </c>
      <c r="E87" s="86">
        <f t="array" ref="E87">IF(C87="","",IFERROR(INDEX(Cost!$B$2:$B$4, MATCH("*" &amp; C87 &amp; "*", Cost!$A$2:$A$4, 0)), "Lỗi dữ liệu"))</f>
        <v>1</v>
      </c>
      <c r="F87" s="39" cm="1">
        <f t="array" ref="F87">_xlfn.IFS( C87="Road",LOOKUP(D87,{0,50,150},Cost!$B$8:$B$10), C87="Barge",Cost!$B$11, C87="Rail",Cost!$B$12, TRUE,0 )</f>
        <v>800000</v>
      </c>
      <c r="G87" s="88">
        <f>IF(C87="","",IFERROR(INDEX(Cost!$B$16:$B$18, MATCH("*" &amp; C87 &amp; "*", Cost!$A$2:$A$4, 0)), "Lỗi dữ liệu"))</f>
        <v>6000000</v>
      </c>
      <c r="H87" s="35">
        <v>1</v>
      </c>
      <c r="I87" s="40">
        <v>1</v>
      </c>
      <c r="J87" s="45"/>
      <c r="K87" s="3"/>
      <c r="L87" s="3"/>
      <c r="M87" s="3"/>
      <c r="N87" s="3"/>
      <c r="O87" s="3"/>
      <c r="P87" s="3"/>
      <c r="Q87" s="3"/>
      <c r="R87" s="3"/>
      <c r="S87" s="3"/>
      <c r="T87" s="3"/>
      <c r="U87" s="3"/>
      <c r="V87" s="3"/>
      <c r="W87" s="3"/>
      <c r="X87" s="3"/>
      <c r="Y87" s="3"/>
      <c r="Z87" s="3"/>
    </row>
    <row r="88" spans="1:26" ht="30" customHeight="1" x14ac:dyDescent="0.3">
      <c r="A88" s="46" t="s">
        <v>29</v>
      </c>
      <c r="B88" s="46" t="s">
        <v>24</v>
      </c>
      <c r="C88" s="20" t="s">
        <v>152</v>
      </c>
      <c r="D88" s="45">
        <v>40</v>
      </c>
      <c r="E88" s="86">
        <f t="array" ref="E88">IF(C88="","",IFERROR(INDEX(Cost!$B$2:$B$4, MATCH("*" &amp; C88 &amp; "*", Cost!$A$2:$A$4, 0)), "Lỗi dữ liệu"))</f>
        <v>0.4</v>
      </c>
      <c r="F88" s="39" cm="1">
        <f t="array" ref="F88">_xlfn.IFS( C88="Road",LOOKUP(D88,{0,50,150},Cost!$B$8:$B$10), C88="Barge",Cost!$B$11, C88="Rail",Cost!$B$12, TRUE,0 )</f>
        <v>500000</v>
      </c>
      <c r="G88" s="88">
        <v>0</v>
      </c>
      <c r="H88" s="35">
        <v>1</v>
      </c>
      <c r="I88" s="40">
        <v>1</v>
      </c>
      <c r="J88" s="45"/>
      <c r="K88" s="3"/>
      <c r="L88" s="3"/>
      <c r="M88" s="3"/>
      <c r="N88" s="3"/>
      <c r="O88" s="3"/>
      <c r="P88" s="3"/>
      <c r="Q88" s="3"/>
      <c r="R88" s="3"/>
      <c r="S88" s="3"/>
      <c r="T88" s="3"/>
      <c r="U88" s="3"/>
      <c r="V88" s="3"/>
      <c r="W88" s="3"/>
      <c r="X88" s="3"/>
      <c r="Y88" s="3"/>
      <c r="Z88" s="3"/>
    </row>
    <row r="89" spans="1:26" ht="30" customHeight="1" x14ac:dyDescent="0.3">
      <c r="A89" s="46" t="s">
        <v>29</v>
      </c>
      <c r="B89" s="46" t="s">
        <v>11</v>
      </c>
      <c r="C89" s="20" t="s">
        <v>162</v>
      </c>
      <c r="D89" s="45">
        <v>10</v>
      </c>
      <c r="E89" s="86">
        <f t="array" ref="E89">IF(C89="","",IFERROR(INDEX(Cost!$B$2:$B$4, MATCH("*" &amp; C89 &amp; "*", Cost!$A$2:$A$4, 0)), "Lỗi dữ liệu"))</f>
        <v>1</v>
      </c>
      <c r="F89" s="39" cm="1">
        <f t="array" ref="F89">_xlfn.IFS( C89="Road",LOOKUP(D89,{0,50,150},Cost!$B$8:$B$10), C89="Barge",Cost!$B$11, C89="Rail",Cost!$B$12, TRUE,0 )</f>
        <v>800000</v>
      </c>
      <c r="G89" s="88">
        <f>IF(C89="","",IFERROR(INDEX(Cost!$B$16:$B$18, MATCH("*" &amp; C89 &amp; "*", Cost!$A$2:$A$4, 0)), "Lỗi dữ liệu"))</f>
        <v>6000000</v>
      </c>
      <c r="H89" s="35">
        <v>1</v>
      </c>
      <c r="I89" s="40">
        <v>0</v>
      </c>
      <c r="J89" s="45"/>
      <c r="K89" s="41"/>
      <c r="L89" s="41"/>
      <c r="M89" s="41"/>
      <c r="N89" s="41"/>
      <c r="O89" s="41"/>
      <c r="P89" s="41"/>
      <c r="Q89" s="41"/>
      <c r="R89" s="41"/>
      <c r="S89" s="41"/>
      <c r="T89" s="41"/>
      <c r="U89" s="41"/>
      <c r="V89" s="41"/>
      <c r="W89" s="41"/>
      <c r="X89" s="41"/>
      <c r="Y89" s="41"/>
      <c r="Z89" s="41"/>
    </row>
    <row r="90" spans="1:26" ht="30" customHeight="1" x14ac:dyDescent="0.3">
      <c r="A90" s="46" t="s">
        <v>29</v>
      </c>
      <c r="B90" s="46" t="s">
        <v>11</v>
      </c>
      <c r="C90" s="37" t="s">
        <v>152</v>
      </c>
      <c r="D90" s="45">
        <v>12</v>
      </c>
      <c r="E90" s="86">
        <f t="array" ref="E90">IF(C90="","",IFERROR(INDEX(Cost!$B$2:$B$4, MATCH("*" &amp; C90 &amp; "*", Cost!$A$2:$A$4, 0)), "Lỗi dữ liệu"))</f>
        <v>0.4</v>
      </c>
      <c r="F90" s="39" cm="1">
        <f t="array" ref="F90">_xlfn.IFS( C90="Road",LOOKUP(D90,{0,50,150},Cost!$B$8:$B$10), C90="Barge",Cost!$B$11, C90="Rail",Cost!$B$12, TRUE,0 )</f>
        <v>500000</v>
      </c>
      <c r="G90" s="88">
        <f>IF(C90="","",IFERROR(INDEX(Cost!$B$16:$B$18, MATCH("*" &amp; C90 &amp; "*", Cost!$A$2:$A$4, 0)), "Lỗi dữ liệu"))</f>
        <v>20000000</v>
      </c>
      <c r="H90" s="35">
        <v>1</v>
      </c>
      <c r="I90" s="40">
        <v>0</v>
      </c>
      <c r="J90" s="45"/>
      <c r="K90" s="41"/>
      <c r="L90" s="41"/>
      <c r="M90" s="41"/>
      <c r="N90" s="41"/>
      <c r="O90" s="41"/>
      <c r="P90" s="41"/>
      <c r="Q90" s="41"/>
      <c r="R90" s="41"/>
      <c r="S90" s="41"/>
      <c r="T90" s="41"/>
      <c r="U90" s="41"/>
      <c r="V90" s="41"/>
      <c r="W90" s="41"/>
      <c r="X90" s="41"/>
      <c r="Y90" s="41"/>
      <c r="Z90" s="41"/>
    </row>
    <row r="91" spans="1:26" ht="30" customHeight="1" x14ac:dyDescent="0.3">
      <c r="A91" s="46" t="s">
        <v>29</v>
      </c>
      <c r="B91" s="46" t="s">
        <v>17</v>
      </c>
      <c r="C91" s="37" t="s">
        <v>162</v>
      </c>
      <c r="D91" s="45">
        <v>20</v>
      </c>
      <c r="E91" s="86">
        <f t="array" ref="E91">IF(C91="","",IFERROR(INDEX(Cost!$B$2:$B$4, MATCH("*" &amp; C91 &amp; "*", Cost!$A$2:$A$4, 0)), "Lỗi dữ liệu"))</f>
        <v>1</v>
      </c>
      <c r="F91" s="39" cm="1">
        <f t="array" ref="F91">_xlfn.IFS( C91="Road",LOOKUP(D91,{0,50,150},Cost!$B$8:$B$10), C91="Barge",Cost!$B$11, C91="Rail",Cost!$B$12, TRUE,0 )</f>
        <v>800000</v>
      </c>
      <c r="G91" s="88">
        <f>IF(C91="","",IFERROR(INDEX(Cost!$B$16:$B$18, MATCH("*" &amp; C91 &amp; "*", Cost!$A$2:$A$4, 0)), "Lỗi dữ liệu"))</f>
        <v>6000000</v>
      </c>
      <c r="H91" s="35">
        <v>1</v>
      </c>
      <c r="I91" s="40">
        <v>0</v>
      </c>
      <c r="J91" s="45"/>
      <c r="K91" s="3"/>
      <c r="L91" s="3"/>
      <c r="M91" s="3"/>
      <c r="N91" s="3"/>
      <c r="O91" s="3"/>
      <c r="P91" s="3"/>
      <c r="Q91" s="3"/>
      <c r="R91" s="3"/>
      <c r="S91" s="3"/>
      <c r="T91" s="3"/>
      <c r="U91" s="3"/>
      <c r="V91" s="3"/>
      <c r="W91" s="3"/>
      <c r="X91" s="3"/>
      <c r="Y91" s="3"/>
      <c r="Z91" s="3"/>
    </row>
    <row r="92" spans="1:26" ht="30" customHeight="1" x14ac:dyDescent="0.3">
      <c r="A92" s="46" t="s">
        <v>29</v>
      </c>
      <c r="B92" s="46" t="s">
        <v>17</v>
      </c>
      <c r="C92" s="37" t="s">
        <v>152</v>
      </c>
      <c r="D92" s="45">
        <v>25</v>
      </c>
      <c r="E92" s="86">
        <f t="array" ref="E92">IF(C92="","",IFERROR(INDEX(Cost!$B$2:$B$4, MATCH("*" &amp; C92 &amp; "*", Cost!$A$2:$A$4, 0)), "Lỗi dữ liệu"))</f>
        <v>0.4</v>
      </c>
      <c r="F92" s="39" cm="1">
        <f t="array" ref="F92">_xlfn.IFS( C92="Road",LOOKUP(D92,{0,50,150},Cost!$B$8:$B$10), C92="Barge",Cost!$B$11, C92="Rail",Cost!$B$12, TRUE,0 )</f>
        <v>500000</v>
      </c>
      <c r="G92" s="88">
        <f>IF(C92="","",IFERROR(INDEX(Cost!$B$16:$B$18, MATCH("*" &amp; C92 &amp; "*", Cost!$A$2:$A$4, 0)), "Lỗi dữ liệu"))</f>
        <v>20000000</v>
      </c>
      <c r="H92" s="35">
        <v>1</v>
      </c>
      <c r="I92" s="40">
        <v>0</v>
      </c>
      <c r="J92" s="45"/>
      <c r="K92" s="3"/>
      <c r="L92" s="3"/>
      <c r="M92" s="3"/>
      <c r="N92" s="3"/>
      <c r="O92" s="3"/>
      <c r="P92" s="3"/>
      <c r="Q92" s="3"/>
      <c r="R92" s="3"/>
      <c r="S92" s="3"/>
      <c r="T92" s="3"/>
      <c r="U92" s="3"/>
      <c r="V92" s="3"/>
      <c r="W92" s="3"/>
      <c r="X92" s="3"/>
      <c r="Y92" s="3"/>
      <c r="Z92" s="3"/>
    </row>
    <row r="93" spans="1:26" ht="30" customHeight="1" x14ac:dyDescent="0.3">
      <c r="A93" s="46" t="s">
        <v>29</v>
      </c>
      <c r="B93" s="46" t="s">
        <v>49</v>
      </c>
      <c r="C93" s="20" t="s">
        <v>162</v>
      </c>
      <c r="D93" s="45">
        <v>110</v>
      </c>
      <c r="E93" s="86">
        <f t="array" ref="E93">IF(C93="","",IFERROR(INDEX(Cost!$B$2:$B$4, MATCH("*" &amp; C93 &amp; "*", Cost!$A$2:$A$4, 0)), "Lỗi dữ liệu"))</f>
        <v>1</v>
      </c>
      <c r="F93" s="39" cm="1">
        <f t="array" ref="F93">_xlfn.IFS( C93="Road",LOOKUP(D93,{0,50,150},Cost!$B$8:$B$10), C93="Barge",Cost!$B$11, C93="Rail",Cost!$B$12, TRUE,0 )</f>
        <v>500000</v>
      </c>
      <c r="G93" s="88">
        <f>IF(C93="","",IFERROR(INDEX(Cost!$B$16:$B$18, MATCH("*" &amp; C93 &amp; "*", Cost!$A$2:$A$4, 0)), "Lỗi dữ liệu"))</f>
        <v>6000000</v>
      </c>
      <c r="H93" s="35">
        <v>1</v>
      </c>
      <c r="I93" s="40">
        <v>0</v>
      </c>
      <c r="J93" s="45"/>
      <c r="K93" s="47"/>
      <c r="L93" s="47"/>
      <c r="M93" s="47"/>
      <c r="N93" s="47"/>
      <c r="O93" s="47"/>
      <c r="P93" s="47"/>
      <c r="Q93" s="47"/>
      <c r="R93" s="47"/>
      <c r="S93" s="47"/>
      <c r="T93" s="47"/>
      <c r="U93" s="47"/>
      <c r="V93" s="47"/>
      <c r="W93" s="47"/>
      <c r="X93" s="47"/>
      <c r="Y93" s="47"/>
      <c r="Z93" s="47"/>
    </row>
    <row r="94" spans="1:26" ht="30" customHeight="1" x14ac:dyDescent="0.3">
      <c r="A94" s="46" t="s">
        <v>29</v>
      </c>
      <c r="B94" s="46" t="s">
        <v>49</v>
      </c>
      <c r="C94" s="20" t="s">
        <v>152</v>
      </c>
      <c r="D94" s="45">
        <v>130</v>
      </c>
      <c r="E94" s="86">
        <f t="array" ref="E94">IF(C94="","",IFERROR(INDEX(Cost!$B$2:$B$4, MATCH("*" &amp; C94 &amp; "*", Cost!$A$2:$A$4, 0)), "Lỗi dữ liệu"))</f>
        <v>0.4</v>
      </c>
      <c r="F94" s="39" cm="1">
        <f t="array" ref="F94">_xlfn.IFS( C94="Road",LOOKUP(D94,{0,50,150},Cost!$B$8:$B$10), C94="Barge",Cost!$B$11, C94="Rail",Cost!$B$12, TRUE,0 )</f>
        <v>500000</v>
      </c>
      <c r="G94" s="88">
        <v>0</v>
      </c>
      <c r="H94" s="35">
        <v>1</v>
      </c>
      <c r="I94" s="40">
        <v>0</v>
      </c>
      <c r="J94" s="45"/>
      <c r="K94" s="47"/>
      <c r="L94" s="47"/>
      <c r="M94" s="47"/>
      <c r="N94" s="47"/>
      <c r="O94" s="47"/>
      <c r="P94" s="47"/>
      <c r="Q94" s="47"/>
      <c r="R94" s="47"/>
      <c r="S94" s="47"/>
      <c r="T94" s="47"/>
      <c r="U94" s="47"/>
      <c r="V94" s="47"/>
      <c r="W94" s="47"/>
      <c r="X94" s="47"/>
      <c r="Y94" s="47"/>
      <c r="Z94" s="47"/>
    </row>
    <row r="95" spans="1:26" ht="30" customHeight="1" x14ac:dyDescent="0.3">
      <c r="A95" s="46" t="s">
        <v>29</v>
      </c>
      <c r="B95" s="46" t="s">
        <v>49</v>
      </c>
      <c r="C95" s="20" t="s">
        <v>139</v>
      </c>
      <c r="D95" s="45">
        <v>160</v>
      </c>
      <c r="E95" s="86">
        <f t="array" ref="E95">IF(C95="","",IFERROR(INDEX(Cost!$B$2:$B$4, MATCH("*" &amp; C95 &amp; "*", Cost!$A$2:$A$4, 0)), "Lỗi dữ liệu"))</f>
        <v>0.25</v>
      </c>
      <c r="F95" s="39" cm="1">
        <f t="array" ref="F95">_xlfn.IFS( C95="Road",LOOKUP(D95,{0,50,150},Cost!$B$8:$B$10), C95="Barge",Cost!$B$11, C95="Rail",Cost!$B$12, TRUE,0 )</f>
        <v>1000000</v>
      </c>
      <c r="G95" s="88">
        <f>IF(C95="","",IFERROR(INDEX(Cost!$B$16:$B$18, MATCH("*" &amp; C95 &amp; "*", Cost!$A$2:$A$4, 0)), "Lỗi dữ liệu"))</f>
        <v>80000000</v>
      </c>
      <c r="H95" s="35">
        <v>1</v>
      </c>
      <c r="I95" s="40">
        <v>0</v>
      </c>
      <c r="J95" s="45"/>
      <c r="K95" s="47"/>
      <c r="L95" s="47"/>
      <c r="M95" s="47"/>
      <c r="N95" s="47"/>
      <c r="O95" s="47"/>
      <c r="P95" s="47"/>
      <c r="Q95" s="47"/>
      <c r="R95" s="47"/>
      <c r="S95" s="47"/>
      <c r="T95" s="47"/>
      <c r="U95" s="47"/>
      <c r="V95" s="47"/>
      <c r="W95" s="47"/>
      <c r="X95" s="47"/>
      <c r="Y95" s="47"/>
      <c r="Z95" s="47"/>
    </row>
    <row r="96" spans="1:26" ht="30" customHeight="1" x14ac:dyDescent="0.3">
      <c r="A96" s="46" t="s">
        <v>29</v>
      </c>
      <c r="B96" s="46" t="s">
        <v>58</v>
      </c>
      <c r="C96" s="20" t="s">
        <v>162</v>
      </c>
      <c r="D96" s="45">
        <v>120</v>
      </c>
      <c r="E96" s="86">
        <f t="array" ref="E96">IF(C96="","",IFERROR(INDEX(Cost!$B$2:$B$4, MATCH("*" &amp; C96 &amp; "*", Cost!$A$2:$A$4, 0)), "Lỗi dữ liệu"))</f>
        <v>1</v>
      </c>
      <c r="F96" s="39" cm="1">
        <f t="array" ref="F96">_xlfn.IFS( C96="Road",LOOKUP(D96,{0,50,150},Cost!$B$8:$B$10), C96="Barge",Cost!$B$11, C96="Rail",Cost!$B$12, TRUE,0 )</f>
        <v>500000</v>
      </c>
      <c r="G96" s="88">
        <f>IF(C96="","",IFERROR(INDEX(Cost!$B$16:$B$18, MATCH("*" &amp; C96 &amp; "*", Cost!$A$2:$A$4, 0)), "Lỗi dữ liệu"))</f>
        <v>6000000</v>
      </c>
      <c r="H96" s="35">
        <v>1</v>
      </c>
      <c r="I96" s="40">
        <v>0</v>
      </c>
      <c r="J96" s="45"/>
      <c r="K96" s="41"/>
      <c r="L96" s="41"/>
      <c r="M96" s="41"/>
      <c r="N96" s="41"/>
      <c r="O96" s="41"/>
      <c r="P96" s="41"/>
      <c r="Q96" s="41"/>
      <c r="R96" s="41"/>
      <c r="S96" s="41"/>
      <c r="T96" s="41"/>
      <c r="U96" s="41"/>
      <c r="V96" s="41"/>
      <c r="W96" s="41"/>
      <c r="X96" s="41"/>
      <c r="Y96" s="41"/>
      <c r="Z96" s="41"/>
    </row>
    <row r="97" spans="1:26" ht="30" customHeight="1" x14ac:dyDescent="0.3">
      <c r="A97" s="46" t="s">
        <v>29</v>
      </c>
      <c r="B97" s="46" t="s">
        <v>58</v>
      </c>
      <c r="C97" s="20" t="s">
        <v>152</v>
      </c>
      <c r="D97" s="45">
        <v>145</v>
      </c>
      <c r="E97" s="86">
        <f t="array" ref="E97">IF(C97="","",IFERROR(INDEX(Cost!$B$2:$B$4, MATCH("*" &amp; C97 &amp; "*", Cost!$A$2:$A$4, 0)), "Lỗi dữ liệu"))</f>
        <v>0.4</v>
      </c>
      <c r="F97" s="39" cm="1">
        <f t="array" ref="F97">_xlfn.IFS( C97="Road",LOOKUP(D97,{0,50,150},Cost!$B$8:$B$10), C97="Barge",Cost!$B$11, C97="Rail",Cost!$B$12, TRUE,0 )</f>
        <v>500000</v>
      </c>
      <c r="G97" s="88">
        <f>IF(C97="","",IFERROR(INDEX(Cost!$B$16:$B$18, MATCH("*" &amp; C97 &amp; "*", Cost!$A$2:$A$4, 0)), "Lỗi dữ liệu"))</f>
        <v>20000000</v>
      </c>
      <c r="H97" s="35">
        <v>1</v>
      </c>
      <c r="I97" s="40">
        <v>0</v>
      </c>
      <c r="J97" s="45"/>
      <c r="K97" s="41"/>
      <c r="L97" s="41"/>
      <c r="M97" s="41"/>
      <c r="N97" s="41"/>
      <c r="O97" s="41"/>
      <c r="P97" s="41"/>
      <c r="Q97" s="41"/>
      <c r="R97" s="41"/>
      <c r="S97" s="41"/>
      <c r="T97" s="41"/>
      <c r="U97" s="41"/>
      <c r="V97" s="41"/>
      <c r="W97" s="41"/>
      <c r="X97" s="41"/>
      <c r="Y97" s="41"/>
      <c r="Z97" s="41"/>
    </row>
    <row r="98" spans="1:26" ht="30" customHeight="1" x14ac:dyDescent="0.3">
      <c r="A98" s="46" t="s">
        <v>29</v>
      </c>
      <c r="B98" s="46" t="s">
        <v>58</v>
      </c>
      <c r="C98" s="20" t="s">
        <v>139</v>
      </c>
      <c r="D98" s="45">
        <v>135</v>
      </c>
      <c r="E98" s="86">
        <f t="array" ref="E98">IF(C98="","",IFERROR(INDEX(Cost!$B$2:$B$4, MATCH("*" &amp; C98 &amp; "*", Cost!$A$2:$A$4, 0)), "Lỗi dữ liệu"))</f>
        <v>0.25</v>
      </c>
      <c r="F98" s="39" cm="1">
        <f t="array" ref="F98">_xlfn.IFS( C98="Road",LOOKUP(D98,{0,50,150},Cost!$B$8:$B$10), C98="Barge",Cost!$B$11, C98="Rail",Cost!$B$12, TRUE,0 )</f>
        <v>1000000</v>
      </c>
      <c r="G98" s="88">
        <f>IF(C98="","",IFERROR(INDEX(Cost!$B$16:$B$18, MATCH("*" &amp; C98 &amp; "*", Cost!$A$2:$A$4, 0)), "Lỗi dữ liệu"))</f>
        <v>80000000</v>
      </c>
      <c r="H98" s="35">
        <v>1</v>
      </c>
      <c r="I98" s="40">
        <v>0</v>
      </c>
      <c r="J98" s="45"/>
      <c r="K98" s="41"/>
      <c r="L98" s="41"/>
      <c r="M98" s="41"/>
      <c r="N98" s="41"/>
      <c r="O98" s="41"/>
      <c r="P98" s="41"/>
      <c r="Q98" s="41"/>
      <c r="R98" s="41"/>
      <c r="S98" s="41"/>
      <c r="T98" s="41"/>
      <c r="U98" s="41"/>
      <c r="V98" s="41"/>
      <c r="W98" s="41"/>
      <c r="X98" s="41"/>
      <c r="Y98" s="41"/>
      <c r="Z98" s="41"/>
    </row>
    <row r="99" spans="1:26" ht="30" customHeight="1" x14ac:dyDescent="0.3">
      <c r="A99" s="46" t="s">
        <v>29</v>
      </c>
      <c r="B99" s="46" t="s">
        <v>63</v>
      </c>
      <c r="C99" s="20" t="s">
        <v>162</v>
      </c>
      <c r="D99" s="45">
        <v>115</v>
      </c>
      <c r="E99" s="86">
        <f t="array" ref="E99">IF(C99="","",IFERROR(INDEX(Cost!$B$2:$B$4, MATCH("*" &amp; C99 &amp; "*", Cost!$A$2:$A$4, 0)), "Lỗi dữ liệu"))</f>
        <v>1</v>
      </c>
      <c r="F99" s="39" cm="1">
        <f t="array" ref="F99">_xlfn.IFS( C99="Road",LOOKUP(D99,{0,50,150},Cost!$B$8:$B$10), C99="Barge",Cost!$B$11, C99="Rail",Cost!$B$12, TRUE,0 )</f>
        <v>500000</v>
      </c>
      <c r="G99" s="88">
        <f>IF(C99="","",IFERROR(INDEX(Cost!$B$16:$B$18, MATCH("*" &amp; C99 &amp; "*", Cost!$A$2:$A$4, 0)), "Lỗi dữ liệu"))</f>
        <v>6000000</v>
      </c>
      <c r="H99" s="35">
        <v>1</v>
      </c>
      <c r="I99" s="40">
        <v>0</v>
      </c>
      <c r="J99" s="45"/>
      <c r="K99" s="3"/>
      <c r="L99" s="3"/>
      <c r="M99" s="3"/>
      <c r="N99" s="3"/>
      <c r="O99" s="3"/>
      <c r="P99" s="3"/>
      <c r="Q99" s="3"/>
      <c r="R99" s="3"/>
      <c r="S99" s="3"/>
      <c r="T99" s="3"/>
      <c r="U99" s="3"/>
      <c r="V99" s="3"/>
      <c r="W99" s="3"/>
      <c r="X99" s="3"/>
      <c r="Y99" s="3"/>
      <c r="Z99" s="3"/>
    </row>
    <row r="100" spans="1:26" ht="30" customHeight="1" x14ac:dyDescent="0.3">
      <c r="A100" s="46" t="s">
        <v>29</v>
      </c>
      <c r="B100" s="46" t="s">
        <v>63</v>
      </c>
      <c r="C100" s="20" t="s">
        <v>152</v>
      </c>
      <c r="D100" s="45">
        <v>135</v>
      </c>
      <c r="E100" s="86">
        <f t="array" ref="E100">IF(C100="","",IFERROR(INDEX(Cost!$B$2:$B$4, MATCH("*" &amp; C100 &amp; "*", Cost!$A$2:$A$4, 0)), "Lỗi dữ liệu"))</f>
        <v>0.4</v>
      </c>
      <c r="F100" s="39" cm="1">
        <f t="array" ref="F100">_xlfn.IFS( C100="Road",LOOKUP(D100,{0,50,150},Cost!$B$8:$B$10), C100="Barge",Cost!$B$11, C100="Rail",Cost!$B$12, TRUE,0 )</f>
        <v>500000</v>
      </c>
      <c r="G100" s="88">
        <f>IF(C100="","",IFERROR(INDEX(Cost!$B$16:$B$18, MATCH("*" &amp; C100 &amp; "*", Cost!$A$2:$A$4, 0)), "Lỗi dữ liệu"))</f>
        <v>20000000</v>
      </c>
      <c r="H100" s="35">
        <v>1</v>
      </c>
      <c r="I100" s="40">
        <v>0</v>
      </c>
      <c r="J100" s="45"/>
      <c r="K100" s="3"/>
      <c r="L100" s="3"/>
      <c r="M100" s="3"/>
      <c r="N100" s="3"/>
      <c r="O100" s="3"/>
      <c r="P100" s="3"/>
      <c r="Q100" s="3"/>
      <c r="R100" s="3"/>
      <c r="S100" s="3"/>
      <c r="T100" s="3"/>
      <c r="U100" s="3"/>
      <c r="V100" s="3"/>
      <c r="W100" s="3"/>
      <c r="X100" s="3"/>
      <c r="Y100" s="3"/>
      <c r="Z100" s="3"/>
    </row>
    <row r="101" spans="1:26" ht="30" customHeight="1" x14ac:dyDescent="0.3">
      <c r="A101" s="46" t="s">
        <v>29</v>
      </c>
      <c r="B101" s="46" t="s">
        <v>63</v>
      </c>
      <c r="C101" s="20" t="s">
        <v>139</v>
      </c>
      <c r="D101" s="45">
        <v>125</v>
      </c>
      <c r="E101" s="86">
        <f t="array" ref="E101">IF(C101="","",IFERROR(INDEX(Cost!$B$2:$B$4, MATCH("*" &amp; C101 &amp; "*", Cost!$A$2:$A$4, 0)), "Lỗi dữ liệu"))</f>
        <v>0.25</v>
      </c>
      <c r="F101" s="39" cm="1">
        <f t="array" ref="F101">_xlfn.IFS( C101="Road",LOOKUP(D101,{0,50,150},Cost!$B$8:$B$10), C101="Barge",Cost!$B$11, C101="Rail",Cost!$B$12, TRUE,0 )</f>
        <v>1000000</v>
      </c>
      <c r="G101" s="88">
        <v>0</v>
      </c>
      <c r="H101" s="35">
        <v>1</v>
      </c>
      <c r="I101" s="40">
        <v>0</v>
      </c>
      <c r="J101" s="45"/>
      <c r="K101" s="3"/>
      <c r="L101" s="3"/>
      <c r="M101" s="3"/>
      <c r="N101" s="3"/>
      <c r="O101" s="3"/>
      <c r="P101" s="3"/>
      <c r="Q101" s="3"/>
      <c r="R101" s="3"/>
      <c r="S101" s="3"/>
      <c r="T101" s="3"/>
      <c r="U101" s="3"/>
      <c r="V101" s="3"/>
      <c r="W101" s="3"/>
      <c r="X101" s="3"/>
      <c r="Y101" s="3"/>
      <c r="Z101" s="3"/>
    </row>
    <row r="102" spans="1:26" ht="30" customHeight="1" x14ac:dyDescent="0.3">
      <c r="A102" s="46" t="s">
        <v>29</v>
      </c>
      <c r="B102" s="46" t="s">
        <v>66</v>
      </c>
      <c r="C102" s="20" t="s">
        <v>162</v>
      </c>
      <c r="D102" s="45">
        <v>130</v>
      </c>
      <c r="E102" s="86">
        <f t="array" ref="E102">IF(C102="","",IFERROR(INDEX(Cost!$B$2:$B$4, MATCH("*" &amp; C102 &amp; "*", Cost!$A$2:$A$4, 0)), "Lỗi dữ liệu"))</f>
        <v>1</v>
      </c>
      <c r="F102" s="39" cm="1">
        <f t="array" ref="F102">_xlfn.IFS( C102="Road",LOOKUP(D102,{0,50,150},Cost!$B$8:$B$10), C102="Barge",Cost!$B$11, C102="Rail",Cost!$B$12, TRUE,0 )</f>
        <v>500000</v>
      </c>
      <c r="G102" s="88">
        <f>IF(C102="","",IFERROR(INDEX(Cost!$B$16:$B$18, MATCH("*" &amp; C102 &amp; "*", Cost!$A$2:$A$4, 0)), "Lỗi dữ liệu"))</f>
        <v>6000000</v>
      </c>
      <c r="H102" s="35">
        <v>1</v>
      </c>
      <c r="I102" s="40">
        <v>0</v>
      </c>
      <c r="J102" s="45"/>
      <c r="K102" s="41"/>
      <c r="L102" s="41"/>
      <c r="M102" s="41"/>
      <c r="N102" s="41"/>
      <c r="O102" s="41"/>
      <c r="P102" s="41"/>
      <c r="Q102" s="41"/>
      <c r="R102" s="41"/>
      <c r="S102" s="41"/>
      <c r="T102" s="41"/>
      <c r="U102" s="41"/>
      <c r="V102" s="41"/>
      <c r="W102" s="41"/>
      <c r="X102" s="41"/>
      <c r="Y102" s="41"/>
      <c r="Z102" s="41"/>
    </row>
    <row r="103" spans="1:26" ht="30" customHeight="1" x14ac:dyDescent="0.3">
      <c r="A103" s="46" t="s">
        <v>29</v>
      </c>
      <c r="B103" s="46" t="s">
        <v>66</v>
      </c>
      <c r="C103" s="37" t="s">
        <v>152</v>
      </c>
      <c r="D103" s="45">
        <v>155</v>
      </c>
      <c r="E103" s="86">
        <f t="array" ref="E103">IF(C103="","",IFERROR(INDEX(Cost!$B$2:$B$4, MATCH("*" &amp; C103 &amp; "*", Cost!$A$2:$A$4, 0)), "Lỗi dữ liệu"))</f>
        <v>0.4</v>
      </c>
      <c r="F103" s="39" cm="1">
        <f t="array" ref="F103">_xlfn.IFS( C103="Road",LOOKUP(D103,{0,50,150},Cost!$B$8:$B$10), C103="Barge",Cost!$B$11, C103="Rail",Cost!$B$12, TRUE,0 )</f>
        <v>500000</v>
      </c>
      <c r="G103" s="88">
        <f>IF(C103="","",IFERROR(INDEX(Cost!$B$16:$B$18, MATCH("*" &amp; C103 &amp; "*", Cost!$A$2:$A$4, 0)), "Lỗi dữ liệu"))</f>
        <v>20000000</v>
      </c>
      <c r="H103" s="35">
        <v>1</v>
      </c>
      <c r="I103" s="40">
        <v>0</v>
      </c>
      <c r="J103" s="45"/>
      <c r="K103" s="41"/>
      <c r="L103" s="41"/>
      <c r="M103" s="41"/>
      <c r="N103" s="41"/>
      <c r="O103" s="41"/>
      <c r="P103" s="41"/>
      <c r="Q103" s="41"/>
      <c r="R103" s="41"/>
      <c r="S103" s="41"/>
      <c r="T103" s="41"/>
      <c r="U103" s="41"/>
      <c r="V103" s="41"/>
      <c r="W103" s="41"/>
      <c r="X103" s="41"/>
      <c r="Y103" s="41"/>
      <c r="Z103" s="41"/>
    </row>
    <row r="104" spans="1:26" ht="30" customHeight="1" x14ac:dyDescent="0.3">
      <c r="A104" s="46" t="s">
        <v>29</v>
      </c>
      <c r="B104" s="46" t="s">
        <v>66</v>
      </c>
      <c r="C104" s="37" t="s">
        <v>139</v>
      </c>
      <c r="D104" s="45">
        <v>140</v>
      </c>
      <c r="E104" s="86">
        <f t="array" ref="E104">IF(C104="","",IFERROR(INDEX(Cost!$B$2:$B$4, MATCH("*" &amp; C104 &amp; "*", Cost!$A$2:$A$4, 0)), "Lỗi dữ liệu"))</f>
        <v>0.25</v>
      </c>
      <c r="F104" s="39" cm="1">
        <f t="array" ref="F104">_xlfn.IFS( C104="Road",LOOKUP(D104,{0,50,150},Cost!$B$8:$B$10), C104="Barge",Cost!$B$11, C104="Rail",Cost!$B$12, TRUE,0 )</f>
        <v>1000000</v>
      </c>
      <c r="G104" s="88">
        <f>IF(C104="","",IFERROR(INDEX(Cost!$B$16:$B$18, MATCH("*" &amp; C104 &amp; "*", Cost!$A$2:$A$4, 0)), "Lỗi dữ liệu"))</f>
        <v>80000000</v>
      </c>
      <c r="H104" s="35">
        <v>1</v>
      </c>
      <c r="I104" s="40">
        <v>0</v>
      </c>
      <c r="J104" s="45"/>
      <c r="K104" s="41"/>
      <c r="L104" s="41"/>
      <c r="M104" s="41"/>
      <c r="N104" s="41"/>
      <c r="O104" s="41"/>
      <c r="P104" s="41"/>
      <c r="Q104" s="41"/>
      <c r="R104" s="41"/>
      <c r="S104" s="41"/>
      <c r="T104" s="41"/>
      <c r="U104" s="41"/>
      <c r="V104" s="41"/>
      <c r="W104" s="41"/>
      <c r="X104" s="41"/>
      <c r="Y104" s="41"/>
      <c r="Z104" s="41"/>
    </row>
    <row r="105" spans="1:26" ht="30" customHeight="1" x14ac:dyDescent="0.3">
      <c r="A105" s="46" t="s">
        <v>29</v>
      </c>
      <c r="B105" s="46" t="s">
        <v>82</v>
      </c>
      <c r="C105" s="20" t="s">
        <v>162</v>
      </c>
      <c r="D105" s="45">
        <v>105</v>
      </c>
      <c r="E105" s="86">
        <f t="array" ref="E105">IF(C105="","",IFERROR(INDEX(Cost!$B$2:$B$4, MATCH("*" &amp; C105 &amp; "*", Cost!$A$2:$A$4, 0)), "Lỗi dữ liệu"))</f>
        <v>1</v>
      </c>
      <c r="F105" s="39" cm="1">
        <f t="array" ref="F105">_xlfn.IFS( C105="Road",LOOKUP(D105,{0,50,150},Cost!$B$8:$B$10), C105="Barge",Cost!$B$11, C105="Rail",Cost!$B$12, TRUE,0 )</f>
        <v>500000</v>
      </c>
      <c r="G105" s="88">
        <f>IF(C105="","",IFERROR(INDEX(Cost!$B$16:$B$18, MATCH("*" &amp; C105 &amp; "*", Cost!$A$2:$A$4, 0)), "Lỗi dữ liệu"))</f>
        <v>6000000</v>
      </c>
      <c r="H105" s="35">
        <v>1</v>
      </c>
      <c r="I105" s="40">
        <v>0</v>
      </c>
      <c r="J105" s="45"/>
      <c r="K105" s="3"/>
      <c r="L105" s="3"/>
      <c r="M105" s="3"/>
      <c r="N105" s="3"/>
      <c r="O105" s="3"/>
      <c r="P105" s="3"/>
      <c r="Q105" s="3"/>
      <c r="R105" s="3"/>
      <c r="S105" s="3"/>
      <c r="T105" s="3"/>
      <c r="U105" s="3"/>
      <c r="V105" s="3"/>
      <c r="W105" s="3"/>
      <c r="X105" s="3"/>
      <c r="Y105" s="3"/>
      <c r="Z105" s="3"/>
    </row>
    <row r="106" spans="1:26" ht="30" customHeight="1" x14ac:dyDescent="0.3">
      <c r="A106" s="46" t="s">
        <v>29</v>
      </c>
      <c r="B106" s="46" t="s">
        <v>82</v>
      </c>
      <c r="C106" s="20" t="s">
        <v>152</v>
      </c>
      <c r="D106" s="45">
        <v>125</v>
      </c>
      <c r="E106" s="86">
        <f t="array" ref="E106">IF(C106="","",IFERROR(INDEX(Cost!$B$2:$B$4, MATCH("*" &amp; C106 &amp; "*", Cost!$A$2:$A$4, 0)), "Lỗi dữ liệu"))</f>
        <v>0.4</v>
      </c>
      <c r="F106" s="39" cm="1">
        <f t="array" ref="F106">_xlfn.IFS( C106="Road",LOOKUP(D106,{0,50,150},Cost!$B$8:$B$10), C106="Barge",Cost!$B$11, C106="Rail",Cost!$B$12, TRUE,0 )</f>
        <v>500000</v>
      </c>
      <c r="G106" s="88">
        <f>IF(C106="","",IFERROR(INDEX(Cost!$B$16:$B$18, MATCH("*" &amp; C106 &amp; "*", Cost!$A$2:$A$4, 0)), "Lỗi dữ liệu"))</f>
        <v>20000000</v>
      </c>
      <c r="H106" s="35">
        <v>1</v>
      </c>
      <c r="I106" s="40">
        <v>0</v>
      </c>
      <c r="J106" s="45"/>
      <c r="K106" s="3"/>
      <c r="L106" s="3"/>
      <c r="M106" s="3"/>
      <c r="N106" s="3"/>
      <c r="O106" s="3"/>
      <c r="P106" s="3"/>
      <c r="Q106" s="3"/>
      <c r="R106" s="3"/>
      <c r="S106" s="3"/>
      <c r="T106" s="3"/>
      <c r="U106" s="3"/>
      <c r="V106" s="3"/>
      <c r="W106" s="3"/>
      <c r="X106" s="3"/>
      <c r="Y106" s="3"/>
      <c r="Z106" s="3"/>
    </row>
    <row r="107" spans="1:26" ht="30" customHeight="1" x14ac:dyDescent="0.3">
      <c r="A107" s="46" t="s">
        <v>29</v>
      </c>
      <c r="B107" s="46" t="s">
        <v>82</v>
      </c>
      <c r="C107" s="37" t="s">
        <v>139</v>
      </c>
      <c r="D107" s="45">
        <v>115</v>
      </c>
      <c r="E107" s="86">
        <f t="array" ref="E107">IF(C107="","",IFERROR(INDEX(Cost!$B$2:$B$4, MATCH("*" &amp; C107 &amp; "*", Cost!$A$2:$A$4, 0)), "Lỗi dữ liệu"))</f>
        <v>0.25</v>
      </c>
      <c r="F107" s="39" cm="1">
        <f t="array" ref="F107">_xlfn.IFS( C107="Road",LOOKUP(D107,{0,50,150},Cost!$B$8:$B$10), C107="Barge",Cost!$B$11, C107="Rail",Cost!$B$12, TRUE,0 )</f>
        <v>1000000</v>
      </c>
      <c r="G107" s="88">
        <f>IF(C107="","",IFERROR(INDEX(Cost!$B$16:$B$18, MATCH("*" &amp; C107 &amp; "*", Cost!$A$2:$A$4, 0)), "Lỗi dữ liệu"))</f>
        <v>80000000</v>
      </c>
      <c r="H107" s="35">
        <v>1</v>
      </c>
      <c r="I107" s="40">
        <v>0</v>
      </c>
      <c r="J107" s="45"/>
      <c r="K107" s="3"/>
      <c r="L107" s="3"/>
      <c r="M107" s="3"/>
      <c r="N107" s="3"/>
      <c r="O107" s="3"/>
      <c r="P107" s="3"/>
      <c r="Q107" s="3"/>
      <c r="R107" s="3"/>
      <c r="S107" s="3"/>
      <c r="T107" s="3"/>
      <c r="U107" s="3"/>
      <c r="V107" s="3"/>
      <c r="W107" s="3"/>
      <c r="X107" s="3"/>
      <c r="Y107" s="3"/>
      <c r="Z107" s="3"/>
    </row>
    <row r="108" spans="1:26" ht="30" customHeight="1" x14ac:dyDescent="0.3">
      <c r="A108" s="46" t="s">
        <v>29</v>
      </c>
      <c r="B108" s="46" t="s">
        <v>102</v>
      </c>
      <c r="C108" s="20" t="s">
        <v>162</v>
      </c>
      <c r="D108" s="45">
        <v>90</v>
      </c>
      <c r="E108" s="86">
        <f t="array" ref="E108">IF(C108="","",IFERROR(INDEX(Cost!$B$2:$B$4, MATCH("*" &amp; C108 &amp; "*", Cost!$A$2:$A$4, 0)), "Lỗi dữ liệu"))</f>
        <v>1</v>
      </c>
      <c r="F108" s="39" cm="1">
        <f t="array" ref="F108">_xlfn.IFS( C108="Road",LOOKUP(D108,{0,50,150},Cost!$B$8:$B$10), C108="Barge",Cost!$B$11, C108="Rail",Cost!$B$12, TRUE,0 )</f>
        <v>500000</v>
      </c>
      <c r="G108" s="88">
        <f>IF(C108="","",IFERROR(INDEX(Cost!$B$16:$B$18, MATCH("*" &amp; C108 &amp; "*", Cost!$A$2:$A$4, 0)), "Lỗi dữ liệu"))</f>
        <v>6000000</v>
      </c>
      <c r="H108" s="35">
        <v>1</v>
      </c>
      <c r="I108" s="40">
        <v>0</v>
      </c>
      <c r="J108" s="45"/>
      <c r="K108" s="41"/>
      <c r="L108" s="41"/>
      <c r="M108" s="41"/>
      <c r="N108" s="41"/>
      <c r="O108" s="41"/>
      <c r="P108" s="41"/>
      <c r="Q108" s="41"/>
      <c r="R108" s="41"/>
      <c r="S108" s="41"/>
      <c r="T108" s="41"/>
      <c r="U108" s="41"/>
      <c r="V108" s="41"/>
      <c r="W108" s="41"/>
      <c r="X108" s="41"/>
      <c r="Y108" s="41"/>
      <c r="Z108" s="41"/>
    </row>
    <row r="109" spans="1:26" ht="30" customHeight="1" x14ac:dyDescent="0.3">
      <c r="A109" s="46" t="s">
        <v>29</v>
      </c>
      <c r="B109" s="46" t="s">
        <v>102</v>
      </c>
      <c r="C109" s="20" t="s">
        <v>152</v>
      </c>
      <c r="D109" s="45">
        <v>130</v>
      </c>
      <c r="E109" s="86">
        <f t="array" ref="E109">IF(C109="","",IFERROR(INDEX(Cost!$B$2:$B$4, MATCH("*" &amp; C109 &amp; "*", Cost!$A$2:$A$4, 0)), "Lỗi dữ liệu"))</f>
        <v>0.4</v>
      </c>
      <c r="F109" s="39" cm="1">
        <f t="array" ref="F109">_xlfn.IFS( C109="Road",LOOKUP(D109,{0,50,150},Cost!$B$8:$B$10), C109="Barge",Cost!$B$11, C109="Rail",Cost!$B$12, TRUE,0 )</f>
        <v>500000</v>
      </c>
      <c r="G109" s="88">
        <f>IF(C109="","",IFERROR(INDEX(Cost!$B$16:$B$18, MATCH("*" &amp; C109 &amp; "*", Cost!$A$2:$A$4, 0)), "Lỗi dữ liệu"))</f>
        <v>20000000</v>
      </c>
      <c r="H109" s="35">
        <v>1</v>
      </c>
      <c r="I109" s="40">
        <v>0</v>
      </c>
      <c r="J109" s="45"/>
      <c r="K109" s="41"/>
      <c r="L109" s="41"/>
      <c r="M109" s="41"/>
      <c r="N109" s="41"/>
      <c r="O109" s="41"/>
      <c r="P109" s="41"/>
      <c r="Q109" s="41"/>
      <c r="R109" s="41"/>
      <c r="S109" s="41"/>
      <c r="T109" s="41"/>
      <c r="U109" s="41"/>
      <c r="V109" s="41"/>
      <c r="W109" s="41"/>
      <c r="X109" s="41"/>
      <c r="Y109" s="41"/>
      <c r="Z109" s="41"/>
    </row>
    <row r="110" spans="1:26" ht="30" customHeight="1" x14ac:dyDescent="0.3">
      <c r="A110" s="46" t="s">
        <v>29</v>
      </c>
      <c r="B110" s="46" t="s">
        <v>119</v>
      </c>
      <c r="C110" s="20" t="s">
        <v>162</v>
      </c>
      <c r="D110" s="45">
        <v>100</v>
      </c>
      <c r="E110" s="86">
        <f t="array" ref="E110">IF(C110="","",IFERROR(INDEX(Cost!$B$2:$B$4, MATCH("*" &amp; C110 &amp; "*", Cost!$A$2:$A$4, 0)), "Lỗi dữ liệu"))</f>
        <v>1</v>
      </c>
      <c r="F110" s="39" cm="1">
        <f t="array" ref="F110">_xlfn.IFS( C110="Road",LOOKUP(D110,{0,50,150},Cost!$B$8:$B$10), C110="Barge",Cost!$B$11, C110="Rail",Cost!$B$12, TRUE,0 )</f>
        <v>500000</v>
      </c>
      <c r="G110" s="88">
        <f>IF(C110="","",IFERROR(INDEX(Cost!$B$16:$B$18, MATCH("*" &amp; C110 &amp; "*", Cost!$A$2:$A$4, 0)), "Lỗi dữ liệu"))</f>
        <v>6000000</v>
      </c>
      <c r="H110" s="35">
        <v>1</v>
      </c>
      <c r="I110" s="40">
        <v>0</v>
      </c>
      <c r="J110" s="45"/>
      <c r="K110" s="3"/>
      <c r="L110" s="3"/>
      <c r="M110" s="3"/>
      <c r="N110" s="3"/>
      <c r="O110" s="3"/>
      <c r="P110" s="3"/>
      <c r="Q110" s="3"/>
      <c r="R110" s="3"/>
      <c r="S110" s="3"/>
      <c r="T110" s="3"/>
      <c r="U110" s="3"/>
      <c r="V110" s="3"/>
      <c r="W110" s="3"/>
      <c r="X110" s="3"/>
      <c r="Y110" s="3"/>
      <c r="Z110" s="3"/>
    </row>
    <row r="111" spans="1:26" ht="30" customHeight="1" x14ac:dyDescent="0.3">
      <c r="A111" s="46" t="s">
        <v>29</v>
      </c>
      <c r="B111" s="46" t="s">
        <v>119</v>
      </c>
      <c r="C111" s="20" t="s">
        <v>152</v>
      </c>
      <c r="D111" s="45">
        <v>120</v>
      </c>
      <c r="E111" s="86">
        <f t="array" ref="E111">IF(C111="","",IFERROR(INDEX(Cost!$B$2:$B$4, MATCH("*" &amp; C111 &amp; "*", Cost!$A$2:$A$4, 0)), "Lỗi dữ liệu"))</f>
        <v>0.4</v>
      </c>
      <c r="F111" s="39" cm="1">
        <f t="array" ref="F111">_xlfn.IFS( C111="Road",LOOKUP(D111,{0,50,150},Cost!$B$8:$B$10), C111="Barge",Cost!$B$11, C111="Rail",Cost!$B$12, TRUE,0 )</f>
        <v>500000</v>
      </c>
      <c r="G111" s="88">
        <f>IF(C111="","",IFERROR(INDEX(Cost!$B$16:$B$18, MATCH("*" &amp; C111 &amp; "*", Cost!$A$2:$A$4, 0)), "Lỗi dữ liệu"))</f>
        <v>20000000</v>
      </c>
      <c r="H111" s="35">
        <v>1</v>
      </c>
      <c r="I111" s="40">
        <v>0</v>
      </c>
      <c r="J111" s="45"/>
      <c r="K111" s="3"/>
      <c r="L111" s="3"/>
      <c r="M111" s="3"/>
      <c r="N111" s="3"/>
      <c r="O111" s="3"/>
      <c r="P111" s="3"/>
      <c r="Q111" s="3"/>
      <c r="R111" s="3"/>
      <c r="S111" s="3"/>
      <c r="T111" s="3"/>
      <c r="U111" s="3"/>
      <c r="V111" s="3"/>
      <c r="W111" s="3"/>
      <c r="X111" s="3"/>
      <c r="Y111" s="3"/>
      <c r="Z111" s="3"/>
    </row>
    <row r="112" spans="1:26" ht="30" customHeight="1" x14ac:dyDescent="0.3">
      <c r="A112" s="46" t="s">
        <v>29</v>
      </c>
      <c r="B112" s="46" t="s">
        <v>119</v>
      </c>
      <c r="C112" s="20" t="s">
        <v>139</v>
      </c>
      <c r="D112" s="45">
        <v>110</v>
      </c>
      <c r="E112" s="86">
        <f t="array" ref="E112">IF(C112="","",IFERROR(INDEX(Cost!$B$2:$B$4, MATCH("*" &amp; C112 &amp; "*", Cost!$A$2:$A$4, 0)), "Lỗi dữ liệu"))</f>
        <v>0.25</v>
      </c>
      <c r="F112" s="39" cm="1">
        <f t="array" ref="F112">_xlfn.IFS( C112="Road",LOOKUP(D112,{0,50,150},Cost!$B$8:$B$10), C112="Barge",Cost!$B$11, C112="Rail",Cost!$B$12, TRUE,0 )</f>
        <v>1000000</v>
      </c>
      <c r="G112" s="88">
        <f>IF(C112="","",IFERROR(INDEX(Cost!$B$16:$B$18, MATCH("*" &amp; C112 &amp; "*", Cost!$A$2:$A$4, 0)), "Lỗi dữ liệu"))</f>
        <v>80000000</v>
      </c>
      <c r="H112" s="35">
        <v>1</v>
      </c>
      <c r="I112" s="40">
        <v>0</v>
      </c>
      <c r="J112" s="45"/>
      <c r="K112" s="3"/>
      <c r="L112" s="3"/>
      <c r="M112" s="3"/>
      <c r="N112" s="3"/>
      <c r="O112" s="3"/>
      <c r="P112" s="3"/>
      <c r="Q112" s="3"/>
      <c r="R112" s="3"/>
      <c r="S112" s="3"/>
      <c r="T112" s="3"/>
      <c r="U112" s="3"/>
      <c r="V112" s="3"/>
      <c r="W112" s="3"/>
      <c r="X112" s="3"/>
      <c r="Y112" s="3"/>
      <c r="Z112" s="3"/>
    </row>
    <row r="113" spans="1:26" ht="30" customHeight="1" x14ac:dyDescent="0.3">
      <c r="A113" s="46" t="s">
        <v>29</v>
      </c>
      <c r="B113" s="46" t="s">
        <v>126</v>
      </c>
      <c r="C113" s="20" t="s">
        <v>162</v>
      </c>
      <c r="D113" s="45">
        <v>120</v>
      </c>
      <c r="E113" s="86">
        <f t="array" ref="E113">IF(C113="","",IFERROR(INDEX(Cost!$B$2:$B$4, MATCH("*" &amp; C113 &amp; "*", Cost!$A$2:$A$4, 0)), "Lỗi dữ liệu"))</f>
        <v>1</v>
      </c>
      <c r="F113" s="39" cm="1">
        <f t="array" ref="F113">_xlfn.IFS( C113="Road",LOOKUP(D113,{0,50,150},Cost!$B$8:$B$10), C113="Barge",Cost!$B$11, C113="Rail",Cost!$B$12, TRUE,0 )</f>
        <v>500000</v>
      </c>
      <c r="G113" s="88">
        <f>IF(C113="","",IFERROR(INDEX(Cost!$B$16:$B$18, MATCH("*" &amp; C113 &amp; "*", Cost!$A$2:$A$4, 0)), "Lỗi dữ liệu"))</f>
        <v>6000000</v>
      </c>
      <c r="H113" s="35">
        <v>1</v>
      </c>
      <c r="I113" s="40">
        <v>0</v>
      </c>
      <c r="J113" s="45"/>
      <c r="K113" s="41"/>
      <c r="L113" s="41"/>
      <c r="M113" s="41"/>
      <c r="N113" s="41"/>
      <c r="O113" s="41"/>
      <c r="P113" s="41"/>
      <c r="Q113" s="41"/>
      <c r="R113" s="41"/>
      <c r="S113" s="41"/>
      <c r="T113" s="41"/>
      <c r="U113" s="41"/>
      <c r="V113" s="41"/>
      <c r="W113" s="41"/>
      <c r="X113" s="41"/>
      <c r="Y113" s="41"/>
      <c r="Z113" s="41"/>
    </row>
    <row r="114" spans="1:26" ht="30" customHeight="1" x14ac:dyDescent="0.3">
      <c r="A114" s="46" t="s">
        <v>29</v>
      </c>
      <c r="B114" s="46" t="s">
        <v>126</v>
      </c>
      <c r="C114" s="20" t="s">
        <v>152</v>
      </c>
      <c r="D114" s="45">
        <v>140</v>
      </c>
      <c r="E114" s="86">
        <f t="array" ref="E114">IF(C114="","",IFERROR(INDEX(Cost!$B$2:$B$4, MATCH("*" &amp; C114 &amp; "*", Cost!$A$2:$A$4, 0)), "Lỗi dữ liệu"))</f>
        <v>0.4</v>
      </c>
      <c r="F114" s="39" cm="1">
        <f t="array" ref="F114">_xlfn.IFS( C114="Road",LOOKUP(D114,{0,50,150},Cost!$B$8:$B$10), C114="Barge",Cost!$B$11, C114="Rail",Cost!$B$12, TRUE,0 )</f>
        <v>500000</v>
      </c>
      <c r="G114" s="88">
        <f>IF(C114="","",IFERROR(INDEX(Cost!$B$16:$B$18, MATCH("*" &amp; C114 &amp; "*", Cost!$A$2:$A$4, 0)), "Lỗi dữ liệu"))</f>
        <v>20000000</v>
      </c>
      <c r="H114" s="35">
        <v>1</v>
      </c>
      <c r="I114" s="40">
        <v>0</v>
      </c>
      <c r="J114" s="45"/>
      <c r="K114" s="41"/>
      <c r="L114" s="41"/>
      <c r="M114" s="41"/>
      <c r="N114" s="41"/>
      <c r="O114" s="41"/>
      <c r="P114" s="41"/>
      <c r="Q114" s="41"/>
      <c r="R114" s="41"/>
      <c r="S114" s="41"/>
      <c r="T114" s="41"/>
      <c r="U114" s="41"/>
      <c r="V114" s="41"/>
      <c r="W114" s="41"/>
      <c r="X114" s="41"/>
      <c r="Y114" s="41"/>
      <c r="Z114" s="41"/>
    </row>
    <row r="115" spans="1:26" ht="30" customHeight="1" x14ac:dyDescent="0.3">
      <c r="A115" s="46" t="s">
        <v>29</v>
      </c>
      <c r="B115" s="46" t="s">
        <v>126</v>
      </c>
      <c r="C115" s="20" t="s">
        <v>139</v>
      </c>
      <c r="D115" s="45">
        <v>160</v>
      </c>
      <c r="E115" s="86">
        <f t="array" ref="E115">IF(C115="","",IFERROR(INDEX(Cost!$B$2:$B$4, MATCH("*" &amp; C115 &amp; "*", Cost!$A$2:$A$4, 0)), "Lỗi dữ liệu"))</f>
        <v>0.25</v>
      </c>
      <c r="F115" s="39" cm="1">
        <f t="array" ref="F115">_xlfn.IFS( C115="Road",LOOKUP(D115,{0,50,150},Cost!$B$8:$B$10), C115="Barge",Cost!$B$11, C115="Rail",Cost!$B$12, TRUE,0 )</f>
        <v>1000000</v>
      </c>
      <c r="G115" s="88">
        <f>IF(C115="","",IFERROR(INDEX(Cost!$B$16:$B$18, MATCH("*" &amp; C115 &amp; "*", Cost!$A$2:$A$4, 0)), "Lỗi dữ liệu"))</f>
        <v>80000000</v>
      </c>
      <c r="H115" s="35">
        <v>1</v>
      </c>
      <c r="I115" s="40">
        <v>0</v>
      </c>
      <c r="J115" s="45"/>
      <c r="K115" s="41"/>
      <c r="L115" s="41"/>
      <c r="M115" s="41"/>
      <c r="N115" s="41"/>
      <c r="O115" s="41"/>
      <c r="P115" s="41"/>
      <c r="Q115" s="41"/>
      <c r="R115" s="41"/>
      <c r="S115" s="41"/>
      <c r="T115" s="41"/>
      <c r="U115" s="41"/>
      <c r="V115" s="41"/>
      <c r="W115" s="41"/>
      <c r="X115" s="41"/>
      <c r="Y115" s="41"/>
      <c r="Z115" s="41"/>
    </row>
    <row r="116" spans="1:26" ht="30" customHeight="1" x14ac:dyDescent="0.3">
      <c r="A116" s="48" t="s">
        <v>49</v>
      </c>
      <c r="B116" s="48" t="s">
        <v>24</v>
      </c>
      <c r="C116" s="20" t="s">
        <v>162</v>
      </c>
      <c r="D116" s="45">
        <v>145</v>
      </c>
      <c r="E116" s="86">
        <f t="array" ref="E116">IF(C116="","",IFERROR(INDEX(Cost!$B$2:$B$4, MATCH("*" &amp; C116 &amp; "*", Cost!$A$2:$A$4, 0)), "Lỗi dữ liệu"))</f>
        <v>1</v>
      </c>
      <c r="F116" s="39" cm="1">
        <f t="array" ref="F116">_xlfn.IFS( C116="Road",LOOKUP(D116,{0,50,150},Cost!$B$8:$B$10), C116="Barge",Cost!$B$11, C116="Rail",Cost!$B$12, TRUE,0 )</f>
        <v>500000</v>
      </c>
      <c r="G116" s="88">
        <v>0</v>
      </c>
      <c r="H116" s="35">
        <v>1</v>
      </c>
      <c r="I116" s="40">
        <v>1</v>
      </c>
      <c r="J116" s="45"/>
      <c r="K116" s="3"/>
      <c r="L116" s="3"/>
      <c r="M116" s="3"/>
      <c r="N116" s="3"/>
      <c r="O116" s="3"/>
      <c r="P116" s="3"/>
      <c r="Q116" s="3"/>
      <c r="R116" s="3"/>
      <c r="S116" s="3"/>
      <c r="T116" s="3"/>
      <c r="U116" s="3"/>
      <c r="V116" s="3"/>
      <c r="W116" s="3"/>
      <c r="X116" s="3"/>
      <c r="Y116" s="3"/>
      <c r="Z116" s="3"/>
    </row>
    <row r="117" spans="1:26" ht="30" customHeight="1" x14ac:dyDescent="0.3">
      <c r="A117" s="48" t="s">
        <v>49</v>
      </c>
      <c r="B117" s="48" t="s">
        <v>24</v>
      </c>
      <c r="C117" s="20" t="s">
        <v>152</v>
      </c>
      <c r="D117" s="45">
        <v>120</v>
      </c>
      <c r="E117" s="86">
        <f t="array" ref="E117">IF(C117="","",IFERROR(INDEX(Cost!$B$2:$B$4, MATCH("*" &amp; C117 &amp; "*", Cost!$A$2:$A$4, 0)), "Lỗi dữ liệu"))</f>
        <v>0.4</v>
      </c>
      <c r="F117" s="39" cm="1">
        <f t="array" ref="F117">_xlfn.IFS( C117="Road",LOOKUP(D117,{0,50,150},Cost!$B$8:$B$10), C117="Barge",Cost!$B$11, C117="Rail",Cost!$B$12, TRUE,0 )</f>
        <v>500000</v>
      </c>
      <c r="G117" s="88">
        <v>0</v>
      </c>
      <c r="H117" s="35">
        <v>1</v>
      </c>
      <c r="I117" s="40">
        <v>1</v>
      </c>
      <c r="J117" s="45"/>
      <c r="K117" s="3"/>
      <c r="L117" s="3"/>
      <c r="M117" s="3"/>
      <c r="N117" s="3"/>
      <c r="O117" s="3"/>
      <c r="P117" s="3"/>
      <c r="Q117" s="3"/>
      <c r="R117" s="3"/>
      <c r="S117" s="3"/>
      <c r="T117" s="3"/>
      <c r="U117" s="3"/>
      <c r="V117" s="3"/>
      <c r="W117" s="3"/>
      <c r="X117" s="3"/>
      <c r="Y117" s="3"/>
      <c r="Z117" s="3"/>
    </row>
    <row r="118" spans="1:26" ht="30" customHeight="1" x14ac:dyDescent="0.3">
      <c r="A118" s="48" t="s">
        <v>49</v>
      </c>
      <c r="B118" s="48" t="s">
        <v>24</v>
      </c>
      <c r="C118" s="20" t="s">
        <v>139</v>
      </c>
      <c r="D118" s="45">
        <v>155</v>
      </c>
      <c r="E118" s="86">
        <f t="array" ref="E118">IF(C118="","",IFERROR(INDEX(Cost!$B$2:$B$4, MATCH("*" &amp; C118 &amp; "*", Cost!$A$2:$A$4, 0)), "Lỗi dữ liệu"))</f>
        <v>0.25</v>
      </c>
      <c r="F118" s="39" cm="1">
        <f t="array" ref="F118">_xlfn.IFS( C118="Road",LOOKUP(D118,{0,50,150},Cost!$B$8:$B$10), C118="Barge",Cost!$B$11, C118="Rail",Cost!$B$12, TRUE,0 )</f>
        <v>1000000</v>
      </c>
      <c r="G118" s="88">
        <f>IF(C118="","",IFERROR(INDEX(Cost!$B$16:$B$18, MATCH("*" &amp; C118 &amp; "*", Cost!$A$2:$A$4, 0)), "Lỗi dữ liệu"))</f>
        <v>80000000</v>
      </c>
      <c r="H118" s="35">
        <v>1</v>
      </c>
      <c r="I118" s="40">
        <v>1</v>
      </c>
      <c r="J118" s="45"/>
      <c r="K118" s="3"/>
      <c r="L118" s="3"/>
      <c r="M118" s="3"/>
      <c r="N118" s="3"/>
      <c r="O118" s="3"/>
      <c r="P118" s="3"/>
      <c r="Q118" s="3"/>
      <c r="R118" s="3"/>
      <c r="S118" s="3"/>
      <c r="T118" s="3"/>
      <c r="U118" s="3"/>
      <c r="V118" s="3"/>
      <c r="W118" s="3"/>
      <c r="X118" s="3"/>
      <c r="Y118" s="3"/>
      <c r="Z118" s="3"/>
    </row>
    <row r="119" spans="1:26" ht="30" customHeight="1" x14ac:dyDescent="0.3">
      <c r="A119" s="48" t="s">
        <v>49</v>
      </c>
      <c r="B119" s="48" t="s">
        <v>11</v>
      </c>
      <c r="C119" s="20" t="s">
        <v>162</v>
      </c>
      <c r="D119" s="45">
        <v>125</v>
      </c>
      <c r="E119" s="86">
        <f t="array" ref="E119">IF(C119="","",IFERROR(INDEX(Cost!$B$2:$B$4, MATCH("*" &amp; C119 &amp; "*", Cost!$A$2:$A$4, 0)), "Lỗi dữ liệu"))</f>
        <v>1</v>
      </c>
      <c r="F119" s="39" cm="1">
        <f t="array" ref="F119">_xlfn.IFS( C119="Road",LOOKUP(D119,{0,50,150},Cost!$B$8:$B$10), C119="Barge",Cost!$B$11, C119="Rail",Cost!$B$12, TRUE,0 )</f>
        <v>500000</v>
      </c>
      <c r="G119" s="88">
        <f>IF(C119="","",IFERROR(INDEX(Cost!$B$16:$B$18, MATCH("*" &amp; C119 &amp; "*", Cost!$A$2:$A$4, 0)), "Lỗi dữ liệu"))</f>
        <v>6000000</v>
      </c>
      <c r="H119" s="35">
        <v>1</v>
      </c>
      <c r="I119" s="40">
        <v>0</v>
      </c>
      <c r="J119" s="45"/>
      <c r="K119" s="41"/>
      <c r="L119" s="41"/>
      <c r="M119" s="41"/>
      <c r="N119" s="41"/>
      <c r="O119" s="41"/>
      <c r="P119" s="41"/>
      <c r="Q119" s="41"/>
      <c r="R119" s="41"/>
      <c r="S119" s="41"/>
      <c r="T119" s="41"/>
      <c r="U119" s="41"/>
      <c r="V119" s="41"/>
      <c r="W119" s="41"/>
      <c r="X119" s="41"/>
      <c r="Y119" s="41"/>
      <c r="Z119" s="41"/>
    </row>
    <row r="120" spans="1:26" ht="30" customHeight="1" x14ac:dyDescent="0.3">
      <c r="A120" s="48" t="s">
        <v>49</v>
      </c>
      <c r="B120" s="48" t="s">
        <v>11</v>
      </c>
      <c r="C120" s="20" t="s">
        <v>152</v>
      </c>
      <c r="D120" s="45">
        <v>110</v>
      </c>
      <c r="E120" s="86">
        <f t="array" ref="E120">IF(C120="","",IFERROR(INDEX(Cost!$B$2:$B$4, MATCH("*" &amp; C120 &amp; "*", Cost!$A$2:$A$4, 0)), "Lỗi dữ liệu"))</f>
        <v>0.4</v>
      </c>
      <c r="F120" s="39" cm="1">
        <f t="array" ref="F120">_xlfn.IFS( C120="Road",LOOKUP(D120,{0,50,150},Cost!$B$8:$B$10), C120="Barge",Cost!$B$11, C120="Rail",Cost!$B$12, TRUE,0 )</f>
        <v>500000</v>
      </c>
      <c r="G120" s="88">
        <f>IF(C120="","",IFERROR(INDEX(Cost!$B$16:$B$18, MATCH("*" &amp; C120 &amp; "*", Cost!$A$2:$A$4, 0)), "Lỗi dữ liệu"))</f>
        <v>20000000</v>
      </c>
      <c r="H120" s="35">
        <v>1</v>
      </c>
      <c r="I120" s="40">
        <v>0</v>
      </c>
      <c r="J120" s="45"/>
      <c r="K120" s="41"/>
      <c r="L120" s="41"/>
      <c r="M120" s="41"/>
      <c r="N120" s="41"/>
      <c r="O120" s="41"/>
      <c r="P120" s="41"/>
      <c r="Q120" s="41"/>
      <c r="R120" s="41"/>
      <c r="S120" s="41"/>
      <c r="T120" s="41"/>
      <c r="U120" s="41"/>
      <c r="V120" s="41"/>
      <c r="W120" s="41"/>
      <c r="X120" s="41"/>
      <c r="Y120" s="41"/>
      <c r="Z120" s="41"/>
    </row>
    <row r="121" spans="1:26" ht="30" customHeight="1" x14ac:dyDescent="0.3">
      <c r="A121" s="48" t="s">
        <v>49</v>
      </c>
      <c r="B121" s="48" t="s">
        <v>11</v>
      </c>
      <c r="C121" s="20" t="s">
        <v>139</v>
      </c>
      <c r="D121" s="45">
        <v>135</v>
      </c>
      <c r="E121" s="86">
        <f t="array" ref="E121">IF(C121="","",IFERROR(INDEX(Cost!$B$2:$B$4, MATCH("*" &amp; C121 &amp; "*", Cost!$A$2:$A$4, 0)), "Lỗi dữ liệu"))</f>
        <v>0.25</v>
      </c>
      <c r="F121" s="39" cm="1">
        <f t="array" ref="F121">_xlfn.IFS( C121="Road",LOOKUP(D121,{0,50,150},Cost!$B$8:$B$10), C121="Barge",Cost!$B$11, C121="Rail",Cost!$B$12, TRUE,0 )</f>
        <v>1000000</v>
      </c>
      <c r="G121" s="88">
        <f>IF(C121="","",IFERROR(INDEX(Cost!$B$16:$B$18, MATCH("*" &amp; C121 &amp; "*", Cost!$A$2:$A$4, 0)), "Lỗi dữ liệu"))</f>
        <v>80000000</v>
      </c>
      <c r="H121" s="35">
        <v>1</v>
      </c>
      <c r="I121" s="40">
        <v>0</v>
      </c>
      <c r="J121" s="45"/>
      <c r="K121" s="41"/>
      <c r="L121" s="41"/>
      <c r="M121" s="41"/>
      <c r="N121" s="41"/>
      <c r="O121" s="41"/>
      <c r="P121" s="41"/>
      <c r="Q121" s="41"/>
      <c r="R121" s="41"/>
      <c r="S121" s="41"/>
      <c r="T121" s="41"/>
      <c r="U121" s="41"/>
      <c r="V121" s="41"/>
      <c r="W121" s="41"/>
      <c r="X121" s="41"/>
      <c r="Y121" s="41"/>
      <c r="Z121" s="41"/>
    </row>
    <row r="122" spans="1:26" ht="30" customHeight="1" x14ac:dyDescent="0.3">
      <c r="A122" s="48" t="s">
        <v>49</v>
      </c>
      <c r="B122" s="48" t="s">
        <v>17</v>
      </c>
      <c r="C122" s="20" t="s">
        <v>162</v>
      </c>
      <c r="D122" s="45">
        <v>135</v>
      </c>
      <c r="E122" s="86">
        <f t="array" ref="E122">IF(C122="","",IFERROR(INDEX(Cost!$B$2:$B$4, MATCH("*" &amp; C122 &amp; "*", Cost!$A$2:$A$4, 0)), "Lỗi dữ liệu"))</f>
        <v>1</v>
      </c>
      <c r="F122" s="39" cm="1">
        <f t="array" ref="F122">_xlfn.IFS( C122="Road",LOOKUP(D122,{0,50,150},Cost!$B$8:$B$10), C122="Barge",Cost!$B$11, C122="Rail",Cost!$B$12, TRUE,0 )</f>
        <v>500000</v>
      </c>
      <c r="G122" s="88">
        <f>IF(C122="","",IFERROR(INDEX(Cost!$B$16:$B$18, MATCH("*" &amp; C122 &amp; "*", Cost!$A$2:$A$4, 0)), "Lỗi dữ liệu"))</f>
        <v>6000000</v>
      </c>
      <c r="H122" s="35">
        <v>1</v>
      </c>
      <c r="I122" s="40">
        <v>0</v>
      </c>
      <c r="J122" s="45"/>
      <c r="K122" s="3"/>
      <c r="L122" s="3"/>
      <c r="M122" s="3"/>
      <c r="N122" s="3"/>
      <c r="O122" s="3"/>
      <c r="P122" s="3"/>
      <c r="Q122" s="3"/>
      <c r="R122" s="3"/>
      <c r="S122" s="3"/>
      <c r="T122" s="3"/>
      <c r="U122" s="3"/>
      <c r="V122" s="3"/>
      <c r="W122" s="3"/>
      <c r="X122" s="3"/>
      <c r="Y122" s="3"/>
      <c r="Z122" s="3"/>
    </row>
    <row r="123" spans="1:26" ht="30" customHeight="1" x14ac:dyDescent="0.3">
      <c r="A123" s="48" t="s">
        <v>49</v>
      </c>
      <c r="B123" s="48" t="s">
        <v>17</v>
      </c>
      <c r="C123" s="20" t="s">
        <v>152</v>
      </c>
      <c r="D123" s="45">
        <v>125</v>
      </c>
      <c r="E123" s="86">
        <f t="array" ref="E123">IF(C123="","",IFERROR(INDEX(Cost!$B$2:$B$4, MATCH("*" &amp; C123 &amp; "*", Cost!$A$2:$A$4, 0)), "Lỗi dữ liệu"))</f>
        <v>0.4</v>
      </c>
      <c r="F123" s="39" cm="1">
        <f t="array" ref="F123">_xlfn.IFS( C123="Road",LOOKUP(D123,{0,50,150},Cost!$B$8:$B$10), C123="Barge",Cost!$B$11, C123="Rail",Cost!$B$12, TRUE,0 )</f>
        <v>500000</v>
      </c>
      <c r="G123" s="88">
        <v>0</v>
      </c>
      <c r="H123" s="35">
        <v>1</v>
      </c>
      <c r="I123" s="40">
        <v>0</v>
      </c>
      <c r="J123" s="45"/>
      <c r="K123" s="3"/>
      <c r="L123" s="3"/>
      <c r="M123" s="3"/>
      <c r="N123" s="3"/>
      <c r="O123" s="3"/>
      <c r="P123" s="3"/>
      <c r="Q123" s="3"/>
      <c r="R123" s="3"/>
      <c r="S123" s="3"/>
      <c r="T123" s="3"/>
      <c r="U123" s="3"/>
      <c r="V123" s="3"/>
      <c r="W123" s="3"/>
      <c r="X123" s="3"/>
      <c r="Y123" s="3"/>
      <c r="Z123" s="3"/>
    </row>
    <row r="124" spans="1:26" ht="30" customHeight="1" x14ac:dyDescent="0.3">
      <c r="A124" s="48" t="s">
        <v>49</v>
      </c>
      <c r="B124" s="48" t="s">
        <v>17</v>
      </c>
      <c r="C124" s="20" t="s">
        <v>139</v>
      </c>
      <c r="D124" s="45">
        <v>145</v>
      </c>
      <c r="E124" s="86">
        <f t="array" ref="E124">IF(C124="","",IFERROR(INDEX(Cost!$B$2:$B$4, MATCH("*" &amp; C124 &amp; "*", Cost!$A$2:$A$4, 0)), "Lỗi dữ liệu"))</f>
        <v>0.25</v>
      </c>
      <c r="F124" s="39" cm="1">
        <f t="array" ref="F124">_xlfn.IFS( C124="Road",LOOKUP(D124,{0,50,150},Cost!$B$8:$B$10), C124="Barge",Cost!$B$11, C124="Rail",Cost!$B$12, TRUE,0 )</f>
        <v>1000000</v>
      </c>
      <c r="G124" s="88">
        <f>IF(C124="","",IFERROR(INDEX(Cost!$B$16:$B$18, MATCH("*" &amp; C124 &amp; "*", Cost!$A$2:$A$4, 0)), "Lỗi dữ liệu"))</f>
        <v>80000000</v>
      </c>
      <c r="H124" s="35">
        <v>1</v>
      </c>
      <c r="I124" s="40">
        <v>0</v>
      </c>
      <c r="J124" s="45"/>
      <c r="K124" s="3"/>
      <c r="L124" s="3"/>
      <c r="M124" s="3"/>
      <c r="N124" s="3"/>
      <c r="O124" s="3"/>
      <c r="P124" s="3"/>
      <c r="Q124" s="3"/>
      <c r="R124" s="3"/>
      <c r="S124" s="3"/>
      <c r="T124" s="3"/>
      <c r="U124" s="3"/>
      <c r="V124" s="3"/>
      <c r="W124" s="3"/>
      <c r="X124" s="3"/>
      <c r="Y124" s="3"/>
      <c r="Z124" s="3"/>
    </row>
    <row r="125" spans="1:26" ht="30" customHeight="1" x14ac:dyDescent="0.3">
      <c r="A125" s="48" t="s">
        <v>49</v>
      </c>
      <c r="B125" s="48" t="s">
        <v>29</v>
      </c>
      <c r="C125" s="20" t="s">
        <v>162</v>
      </c>
      <c r="D125" s="45">
        <v>115</v>
      </c>
      <c r="E125" s="86">
        <f t="array" ref="E125">IF(C125="","",IFERROR(INDEX(Cost!$B$2:$B$4, MATCH("*" &amp; C125 &amp; "*", Cost!$A$2:$A$4, 0)), "Lỗi dữ liệu"))</f>
        <v>1</v>
      </c>
      <c r="F125" s="39" cm="1">
        <f t="array" ref="F125">_xlfn.IFS( C125="Road",LOOKUP(D125,{0,50,150},Cost!$B$8:$B$10), C125="Barge",Cost!$B$11, C125="Rail",Cost!$B$12, TRUE,0 )</f>
        <v>500000</v>
      </c>
      <c r="G125" s="88">
        <f>IF(C125="","",IFERROR(INDEX(Cost!$B$16:$B$18, MATCH("*" &amp; C125 &amp; "*", Cost!$A$2:$A$4, 0)), "Lỗi dữ liệu"))</f>
        <v>6000000</v>
      </c>
      <c r="H125" s="35">
        <v>1</v>
      </c>
      <c r="I125" s="40">
        <v>0</v>
      </c>
      <c r="J125" s="45"/>
      <c r="K125" s="41"/>
      <c r="L125" s="41"/>
      <c r="M125" s="41"/>
      <c r="N125" s="41"/>
      <c r="O125" s="41"/>
      <c r="P125" s="41"/>
      <c r="Q125" s="41"/>
      <c r="R125" s="41"/>
      <c r="S125" s="41"/>
      <c r="T125" s="41"/>
      <c r="U125" s="41"/>
      <c r="V125" s="41"/>
      <c r="W125" s="41"/>
      <c r="X125" s="41"/>
      <c r="Y125" s="41"/>
      <c r="Z125" s="41"/>
    </row>
    <row r="126" spans="1:26" ht="30" customHeight="1" x14ac:dyDescent="0.3">
      <c r="A126" s="48" t="s">
        <v>49</v>
      </c>
      <c r="B126" s="48" t="s">
        <v>29</v>
      </c>
      <c r="C126" s="20" t="s">
        <v>152</v>
      </c>
      <c r="D126" s="45">
        <v>100</v>
      </c>
      <c r="E126" s="86">
        <f t="array" ref="E126">IF(C126="","",IFERROR(INDEX(Cost!$B$2:$B$4, MATCH("*" &amp; C126 &amp; "*", Cost!$A$2:$A$4, 0)), "Lỗi dữ liệu"))</f>
        <v>0.4</v>
      </c>
      <c r="F126" s="39" cm="1">
        <f t="array" ref="F126">_xlfn.IFS( C126="Road",LOOKUP(D126,{0,50,150},Cost!$B$8:$B$10), C126="Barge",Cost!$B$11, C126="Rail",Cost!$B$12, TRUE,0 )</f>
        <v>500000</v>
      </c>
      <c r="G126" s="88">
        <v>0</v>
      </c>
      <c r="H126" s="35">
        <v>1</v>
      </c>
      <c r="I126" s="40">
        <v>0</v>
      </c>
      <c r="J126" s="45"/>
      <c r="K126" s="41"/>
      <c r="L126" s="41"/>
      <c r="M126" s="41"/>
      <c r="N126" s="41"/>
      <c r="O126" s="41"/>
      <c r="P126" s="41"/>
      <c r="Q126" s="41"/>
      <c r="R126" s="41"/>
      <c r="S126" s="41"/>
      <c r="T126" s="41"/>
      <c r="U126" s="41"/>
      <c r="V126" s="41"/>
      <c r="W126" s="41"/>
      <c r="X126" s="41"/>
      <c r="Y126" s="41"/>
      <c r="Z126" s="41"/>
    </row>
    <row r="127" spans="1:26" ht="30" customHeight="1" x14ac:dyDescent="0.3">
      <c r="A127" s="48" t="s">
        <v>49</v>
      </c>
      <c r="B127" s="48" t="s">
        <v>58</v>
      </c>
      <c r="C127" s="20" t="s">
        <v>162</v>
      </c>
      <c r="D127" s="45">
        <v>30</v>
      </c>
      <c r="E127" s="86">
        <f t="array" ref="E127">IF(C127="","",IFERROR(INDEX(Cost!$B$2:$B$4, MATCH("*" &amp; C127 &amp; "*", Cost!$A$2:$A$4, 0)), "Lỗi dữ liệu"))</f>
        <v>1</v>
      </c>
      <c r="F127" s="39" cm="1">
        <f t="array" ref="F127">_xlfn.IFS( C127="Road",LOOKUP(D127,{0,50,150},Cost!$B$8:$B$10), C127="Barge",Cost!$B$11, C127="Rail",Cost!$B$12, TRUE,0 )</f>
        <v>800000</v>
      </c>
      <c r="G127" s="88">
        <f>IF(C127="","",IFERROR(INDEX(Cost!$B$16:$B$18, MATCH("*" &amp; C127 &amp; "*", Cost!$A$2:$A$4, 0)), "Lỗi dữ liệu"))</f>
        <v>6000000</v>
      </c>
      <c r="H127" s="35">
        <v>1</v>
      </c>
      <c r="I127" s="40">
        <v>0</v>
      </c>
      <c r="J127" s="45"/>
      <c r="K127" s="3"/>
      <c r="L127" s="3"/>
      <c r="M127" s="3"/>
      <c r="N127" s="3"/>
      <c r="O127" s="3"/>
      <c r="P127" s="3"/>
      <c r="Q127" s="3"/>
      <c r="R127" s="3"/>
      <c r="S127" s="3"/>
      <c r="T127" s="3"/>
      <c r="U127" s="3"/>
      <c r="V127" s="3"/>
      <c r="W127" s="3"/>
      <c r="X127" s="3"/>
      <c r="Y127" s="3"/>
      <c r="Z127" s="3"/>
    </row>
    <row r="128" spans="1:26" ht="30" customHeight="1" x14ac:dyDescent="0.3">
      <c r="A128" s="48" t="s">
        <v>49</v>
      </c>
      <c r="B128" s="48" t="s">
        <v>58</v>
      </c>
      <c r="C128" s="20" t="s">
        <v>152</v>
      </c>
      <c r="D128" s="45">
        <v>40</v>
      </c>
      <c r="E128" s="86">
        <f t="array" ref="E128">IF(C128="","",IFERROR(INDEX(Cost!$B$2:$B$4, MATCH("*" &amp; C128 &amp; "*", Cost!$A$2:$A$4, 0)), "Lỗi dữ liệu"))</f>
        <v>0.4</v>
      </c>
      <c r="F128" s="39" cm="1">
        <f t="array" ref="F128">_xlfn.IFS( C128="Road",LOOKUP(D128,{0,50,150},Cost!$B$8:$B$10), C128="Barge",Cost!$B$11, C128="Rail",Cost!$B$12, TRUE,0 )</f>
        <v>500000</v>
      </c>
      <c r="G128" s="88">
        <f>IF(C128="","",IFERROR(INDEX(Cost!$B$16:$B$18, MATCH("*" &amp; C128 &amp; "*", Cost!$A$2:$A$4, 0)), "Lỗi dữ liệu"))</f>
        <v>20000000</v>
      </c>
      <c r="H128" s="35">
        <v>1</v>
      </c>
      <c r="I128" s="40">
        <v>0</v>
      </c>
      <c r="J128" s="45"/>
      <c r="K128" s="3"/>
      <c r="L128" s="3"/>
      <c r="M128" s="3"/>
      <c r="N128" s="3"/>
      <c r="O128" s="3"/>
      <c r="P128" s="3"/>
      <c r="Q128" s="3"/>
      <c r="R128" s="3"/>
      <c r="S128" s="3"/>
      <c r="T128" s="3"/>
      <c r="U128" s="3"/>
      <c r="V128" s="3"/>
      <c r="W128" s="3"/>
      <c r="X128" s="3"/>
      <c r="Y128" s="3"/>
      <c r="Z128" s="3"/>
    </row>
    <row r="129" spans="1:26" ht="30" customHeight="1" x14ac:dyDescent="0.3">
      <c r="A129" s="48" t="s">
        <v>49</v>
      </c>
      <c r="B129" s="48" t="s">
        <v>58</v>
      </c>
      <c r="C129" s="20" t="s">
        <v>139</v>
      </c>
      <c r="D129" s="45">
        <v>35</v>
      </c>
      <c r="E129" s="86">
        <f t="array" ref="E129">IF(C129="","",IFERROR(INDEX(Cost!$B$2:$B$4, MATCH("*" &amp; C129 &amp; "*", Cost!$A$2:$A$4, 0)), "Lỗi dữ liệu"))</f>
        <v>0.25</v>
      </c>
      <c r="F129" s="39" cm="1">
        <f t="array" ref="F129">_xlfn.IFS( C129="Road",LOOKUP(D129,{0,50,150},Cost!$B$8:$B$10), C129="Barge",Cost!$B$11, C129="Rail",Cost!$B$12, TRUE,0 )</f>
        <v>1000000</v>
      </c>
      <c r="G129" s="88">
        <f>IF(C129="","",IFERROR(INDEX(Cost!$B$16:$B$18, MATCH("*" &amp; C129 &amp; "*", Cost!$A$2:$A$4, 0)), "Lỗi dữ liệu"))</f>
        <v>80000000</v>
      </c>
      <c r="H129" s="35">
        <v>1</v>
      </c>
      <c r="I129" s="40">
        <v>0</v>
      </c>
      <c r="J129" s="45"/>
      <c r="K129" s="3"/>
      <c r="L129" s="3"/>
      <c r="M129" s="3"/>
      <c r="N129" s="3"/>
      <c r="O129" s="3"/>
      <c r="P129" s="3"/>
      <c r="Q129" s="3"/>
      <c r="R129" s="3"/>
      <c r="S129" s="3"/>
      <c r="T129" s="3"/>
      <c r="U129" s="3"/>
      <c r="V129" s="3"/>
      <c r="W129" s="3"/>
      <c r="X129" s="3"/>
      <c r="Y129" s="3"/>
      <c r="Z129" s="3"/>
    </row>
    <row r="130" spans="1:26" ht="30" customHeight="1" x14ac:dyDescent="0.3">
      <c r="A130" s="48" t="s">
        <v>49</v>
      </c>
      <c r="B130" s="48" t="s">
        <v>63</v>
      </c>
      <c r="C130" s="20" t="s">
        <v>162</v>
      </c>
      <c r="D130" s="45">
        <v>10</v>
      </c>
      <c r="E130" s="86">
        <f t="array" ref="E130">IF(C130="","",IFERROR(INDEX(Cost!$B$2:$B$4, MATCH("*" &amp; C130 &amp; "*", Cost!$A$2:$A$4, 0)), "Lỗi dữ liệu"))</f>
        <v>1</v>
      </c>
      <c r="F130" s="39" cm="1">
        <f t="array" ref="F130">_xlfn.IFS( C130="Road",LOOKUP(D130,{0,50,150},Cost!$B$8:$B$10), C130="Barge",Cost!$B$11, C130="Rail",Cost!$B$12, TRUE,0 )</f>
        <v>800000</v>
      </c>
      <c r="G130" s="88">
        <v>0</v>
      </c>
      <c r="H130" s="35">
        <v>1</v>
      </c>
      <c r="I130" s="40">
        <v>0</v>
      </c>
      <c r="J130" s="45"/>
      <c r="K130" s="41"/>
      <c r="L130" s="41"/>
      <c r="M130" s="41"/>
      <c r="N130" s="41"/>
      <c r="O130" s="41"/>
      <c r="P130" s="41"/>
      <c r="Q130" s="41"/>
      <c r="R130" s="41"/>
      <c r="S130" s="41"/>
      <c r="T130" s="41"/>
      <c r="U130" s="41"/>
      <c r="V130" s="41"/>
      <c r="W130" s="41"/>
      <c r="X130" s="41"/>
      <c r="Y130" s="41"/>
      <c r="Z130" s="41"/>
    </row>
    <row r="131" spans="1:26" ht="30" customHeight="1" x14ac:dyDescent="0.3">
      <c r="A131" s="48" t="s">
        <v>49</v>
      </c>
      <c r="B131" s="48" t="s">
        <v>66</v>
      </c>
      <c r="C131" s="20" t="s">
        <v>162</v>
      </c>
      <c r="D131" s="45">
        <v>40</v>
      </c>
      <c r="E131" s="86">
        <f t="array" ref="E131">IF(C131="","",IFERROR(INDEX(Cost!$B$2:$B$4, MATCH("*" &amp; C131 &amp; "*", Cost!$A$2:$A$4, 0)), "Lỗi dữ liệu"))</f>
        <v>1</v>
      </c>
      <c r="F131" s="39" cm="1">
        <f t="array" ref="F131">_xlfn.IFS( C131="Road",LOOKUP(D131,{0,50,150},Cost!$B$8:$B$10), C131="Barge",Cost!$B$11, C131="Rail",Cost!$B$12, TRUE,0 )</f>
        <v>800000</v>
      </c>
      <c r="G131" s="88">
        <f>IF(C131="","",IFERROR(INDEX(Cost!$B$16:$B$18, MATCH("*" &amp; C131 &amp; "*", Cost!$A$2:$A$4, 0)), "Lỗi dữ liệu"))</f>
        <v>6000000</v>
      </c>
      <c r="H131" s="35">
        <v>1</v>
      </c>
      <c r="I131" s="40">
        <v>0</v>
      </c>
      <c r="J131" s="45"/>
      <c r="K131" s="3"/>
      <c r="L131" s="3"/>
      <c r="M131" s="3"/>
      <c r="N131" s="3"/>
      <c r="O131" s="3"/>
      <c r="P131" s="3"/>
      <c r="Q131" s="3"/>
      <c r="R131" s="3"/>
      <c r="S131" s="3"/>
      <c r="T131" s="3"/>
      <c r="U131" s="3"/>
      <c r="V131" s="3"/>
      <c r="W131" s="3"/>
      <c r="X131" s="3"/>
      <c r="Y131" s="3"/>
      <c r="Z131" s="3"/>
    </row>
    <row r="132" spans="1:26" ht="30" customHeight="1" x14ac:dyDescent="0.3">
      <c r="A132" s="48" t="s">
        <v>49</v>
      </c>
      <c r="B132" s="48" t="s">
        <v>66</v>
      </c>
      <c r="C132" s="20" t="s">
        <v>152</v>
      </c>
      <c r="D132" s="45">
        <v>50</v>
      </c>
      <c r="E132" s="86">
        <f t="array" ref="E132">IF(C132="","",IFERROR(INDEX(Cost!$B$2:$B$4, MATCH("*" &amp; C132 &amp; "*", Cost!$A$2:$A$4, 0)), "Lỗi dữ liệu"))</f>
        <v>0.4</v>
      </c>
      <c r="F132" s="39" cm="1">
        <f t="array" ref="F132">_xlfn.IFS( C132="Road",LOOKUP(D132,{0,50,150},Cost!$B$8:$B$10), C132="Barge",Cost!$B$11, C132="Rail",Cost!$B$12, TRUE,0 )</f>
        <v>500000</v>
      </c>
      <c r="G132" s="88">
        <f>IF(C132="","",IFERROR(INDEX(Cost!$B$16:$B$18, MATCH("*" &amp; C132 &amp; "*", Cost!$A$2:$A$4, 0)), "Lỗi dữ liệu"))</f>
        <v>20000000</v>
      </c>
      <c r="H132" s="35">
        <v>1</v>
      </c>
      <c r="I132" s="40">
        <v>0</v>
      </c>
      <c r="J132" s="45"/>
      <c r="K132" s="3"/>
      <c r="L132" s="3"/>
      <c r="M132" s="3"/>
      <c r="N132" s="3"/>
      <c r="O132" s="3"/>
      <c r="P132" s="3"/>
      <c r="Q132" s="3"/>
      <c r="R132" s="3"/>
      <c r="S132" s="3"/>
      <c r="T132" s="3"/>
      <c r="U132" s="3"/>
      <c r="V132" s="3"/>
      <c r="W132" s="3"/>
      <c r="X132" s="3"/>
      <c r="Y132" s="3"/>
      <c r="Z132" s="3"/>
    </row>
    <row r="133" spans="1:26" ht="30" customHeight="1" x14ac:dyDescent="0.3">
      <c r="A133" s="48" t="s">
        <v>49</v>
      </c>
      <c r="B133" s="48" t="s">
        <v>66</v>
      </c>
      <c r="C133" s="20" t="s">
        <v>139</v>
      </c>
      <c r="D133" s="45">
        <v>45</v>
      </c>
      <c r="E133" s="86">
        <f t="array" ref="E133">IF(C133="","",IFERROR(INDEX(Cost!$B$2:$B$4, MATCH("*" &amp; C133 &amp; "*", Cost!$A$2:$A$4, 0)), "Lỗi dữ liệu"))</f>
        <v>0.25</v>
      </c>
      <c r="F133" s="39" cm="1">
        <f t="array" ref="F133">_xlfn.IFS( C133="Road",LOOKUP(D133,{0,50,150},Cost!$B$8:$B$10), C133="Barge",Cost!$B$11, C133="Rail",Cost!$B$12, TRUE,0 )</f>
        <v>1000000</v>
      </c>
      <c r="G133" s="88">
        <f>IF(C133="","",IFERROR(INDEX(Cost!$B$16:$B$18, MATCH("*" &amp; C133 &amp; "*", Cost!$A$2:$A$4, 0)), "Lỗi dữ liệu"))</f>
        <v>80000000</v>
      </c>
      <c r="H133" s="35">
        <v>1</v>
      </c>
      <c r="I133" s="40">
        <v>0</v>
      </c>
      <c r="J133" s="45"/>
      <c r="K133" s="3"/>
      <c r="L133" s="3"/>
      <c r="M133" s="3"/>
      <c r="N133" s="3"/>
      <c r="O133" s="3"/>
      <c r="P133" s="3"/>
      <c r="Q133" s="3"/>
      <c r="R133" s="3"/>
      <c r="S133" s="3"/>
      <c r="T133" s="3"/>
      <c r="U133" s="3"/>
      <c r="V133" s="3"/>
      <c r="W133" s="3"/>
      <c r="X133" s="3"/>
      <c r="Y133" s="3"/>
      <c r="Z133" s="3"/>
    </row>
    <row r="134" spans="1:26" ht="30" customHeight="1" x14ac:dyDescent="0.3">
      <c r="A134" s="48" t="s">
        <v>49</v>
      </c>
      <c r="B134" s="48" t="s">
        <v>82</v>
      </c>
      <c r="C134" s="20" t="s">
        <v>162</v>
      </c>
      <c r="D134" s="45">
        <v>15</v>
      </c>
      <c r="E134" s="86">
        <f t="array" ref="E134">IF(C134="","",IFERROR(INDEX(Cost!$B$2:$B$4, MATCH("*" &amp; C134 &amp; "*", Cost!$A$2:$A$4, 0)), "Lỗi dữ liệu"))</f>
        <v>1</v>
      </c>
      <c r="F134" s="39" cm="1">
        <f t="array" ref="F134">_xlfn.IFS( C134="Road",LOOKUP(D134,{0,50,150},Cost!$B$8:$B$10), C134="Barge",Cost!$B$11, C134="Rail",Cost!$B$12, TRUE,0 )</f>
        <v>800000</v>
      </c>
      <c r="G134" s="88">
        <v>0</v>
      </c>
      <c r="H134" s="35">
        <v>1</v>
      </c>
      <c r="I134" s="40">
        <v>0</v>
      </c>
      <c r="J134" s="45"/>
      <c r="K134" s="41"/>
      <c r="L134" s="41"/>
      <c r="M134" s="41"/>
      <c r="N134" s="41"/>
      <c r="O134" s="41"/>
      <c r="P134" s="41"/>
      <c r="Q134" s="41"/>
      <c r="R134" s="41"/>
      <c r="S134" s="41"/>
      <c r="T134" s="41"/>
      <c r="U134" s="41"/>
      <c r="V134" s="41"/>
      <c r="W134" s="41"/>
      <c r="X134" s="41"/>
      <c r="Y134" s="41"/>
      <c r="Z134" s="41"/>
    </row>
    <row r="135" spans="1:26" ht="30" customHeight="1" x14ac:dyDescent="0.3">
      <c r="A135" s="48" t="s">
        <v>49</v>
      </c>
      <c r="B135" s="48" t="s">
        <v>82</v>
      </c>
      <c r="C135" s="20" t="s">
        <v>139</v>
      </c>
      <c r="D135" s="45">
        <v>20</v>
      </c>
      <c r="E135" s="86">
        <f t="array" ref="E135">IF(C135="","",IFERROR(INDEX(Cost!$B$2:$B$4, MATCH("*" &amp; C135 &amp; "*", Cost!$A$2:$A$4, 0)), "Lỗi dữ liệu"))</f>
        <v>0.25</v>
      </c>
      <c r="F135" s="39" cm="1">
        <f t="array" ref="F135">_xlfn.IFS( C135="Road",LOOKUP(D135,{0,50,150},Cost!$B$8:$B$10), C135="Barge",Cost!$B$11, C135="Rail",Cost!$B$12, TRUE,0 )</f>
        <v>1000000</v>
      </c>
      <c r="G135" s="88">
        <f>IF(C135="","",IFERROR(INDEX(Cost!$B$16:$B$18, MATCH("*" &amp; C135 &amp; "*", Cost!$A$2:$A$4, 0)), "Lỗi dữ liệu"))</f>
        <v>80000000</v>
      </c>
      <c r="H135" s="35">
        <v>1</v>
      </c>
      <c r="I135" s="40">
        <v>0</v>
      </c>
      <c r="J135" s="45"/>
      <c r="K135" s="41"/>
      <c r="L135" s="41"/>
      <c r="M135" s="41"/>
      <c r="N135" s="41"/>
      <c r="O135" s="41"/>
      <c r="P135" s="41"/>
      <c r="Q135" s="41"/>
      <c r="R135" s="41"/>
      <c r="S135" s="41"/>
      <c r="T135" s="41"/>
      <c r="U135" s="41"/>
      <c r="V135" s="41"/>
      <c r="W135" s="41"/>
      <c r="X135" s="41"/>
      <c r="Y135" s="41"/>
      <c r="Z135" s="41"/>
    </row>
    <row r="136" spans="1:26" ht="30" customHeight="1" x14ac:dyDescent="0.3">
      <c r="A136" s="48" t="s">
        <v>49</v>
      </c>
      <c r="B136" s="48" t="s">
        <v>102</v>
      </c>
      <c r="C136" s="20" t="s">
        <v>162</v>
      </c>
      <c r="D136" s="45">
        <v>50</v>
      </c>
      <c r="E136" s="86">
        <f t="array" ref="E136">IF(C136="","",IFERROR(INDEX(Cost!$B$2:$B$4, MATCH("*" &amp; C136 &amp; "*", Cost!$A$2:$A$4, 0)), "Lỗi dữ liệu"))</f>
        <v>1</v>
      </c>
      <c r="F136" s="39" cm="1">
        <f t="array" ref="F136">_xlfn.IFS( C136="Road",LOOKUP(D136,{0,50,150},Cost!$B$8:$B$10), C136="Barge",Cost!$B$11, C136="Rail",Cost!$B$12, TRUE,0 )</f>
        <v>500000</v>
      </c>
      <c r="G136" s="88">
        <f>IF(C136="","",IFERROR(INDEX(Cost!$B$16:$B$18, MATCH("*" &amp; C136 &amp; "*", Cost!$A$2:$A$4, 0)), "Lỗi dữ liệu"))</f>
        <v>6000000</v>
      </c>
      <c r="H136" s="35">
        <v>1</v>
      </c>
      <c r="I136" s="40">
        <v>0</v>
      </c>
      <c r="J136" s="45"/>
      <c r="K136" s="3"/>
      <c r="L136" s="3"/>
      <c r="M136" s="3"/>
      <c r="N136" s="3"/>
      <c r="O136" s="3"/>
      <c r="P136" s="3"/>
      <c r="Q136" s="3"/>
      <c r="R136" s="3"/>
      <c r="S136" s="3"/>
      <c r="T136" s="3"/>
      <c r="U136" s="3"/>
      <c r="V136" s="3"/>
      <c r="W136" s="3"/>
      <c r="X136" s="3"/>
      <c r="Y136" s="3"/>
      <c r="Z136" s="3"/>
    </row>
    <row r="137" spans="1:26" ht="30" customHeight="1" x14ac:dyDescent="0.3">
      <c r="A137" s="48" t="s">
        <v>49</v>
      </c>
      <c r="B137" s="48" t="s">
        <v>102</v>
      </c>
      <c r="C137" s="20" t="s">
        <v>152</v>
      </c>
      <c r="D137" s="45">
        <v>60</v>
      </c>
      <c r="E137" s="86">
        <f t="array" ref="E137">IF(C137="","",IFERROR(INDEX(Cost!$B$2:$B$4, MATCH("*" &amp; C137 &amp; "*", Cost!$A$2:$A$4, 0)), "Lỗi dữ liệu"))</f>
        <v>0.4</v>
      </c>
      <c r="F137" s="39" cm="1">
        <f t="array" ref="F137">_xlfn.IFS( C137="Road",LOOKUP(D137,{0,50,150},Cost!$B$8:$B$10), C137="Barge",Cost!$B$11, C137="Rail",Cost!$B$12, TRUE,0 )</f>
        <v>500000</v>
      </c>
      <c r="G137" s="88">
        <f>IF(C137="","",IFERROR(INDEX(Cost!$B$16:$B$18, MATCH("*" &amp; C137 &amp; "*", Cost!$A$2:$A$4, 0)), "Lỗi dữ liệu"))</f>
        <v>20000000</v>
      </c>
      <c r="H137" s="35">
        <v>1</v>
      </c>
      <c r="I137" s="40">
        <v>0</v>
      </c>
      <c r="J137" s="45"/>
      <c r="K137" s="3"/>
      <c r="L137" s="3"/>
      <c r="M137" s="3"/>
      <c r="N137" s="3"/>
      <c r="O137" s="3"/>
      <c r="P137" s="3"/>
      <c r="Q137" s="3"/>
      <c r="R137" s="3"/>
      <c r="S137" s="3"/>
      <c r="T137" s="3"/>
      <c r="U137" s="3"/>
      <c r="V137" s="3"/>
      <c r="W137" s="3"/>
      <c r="X137" s="3"/>
      <c r="Y137" s="3"/>
      <c r="Z137" s="3"/>
    </row>
    <row r="138" spans="1:26" ht="30" customHeight="1" x14ac:dyDescent="0.3">
      <c r="A138" s="48" t="s">
        <v>49</v>
      </c>
      <c r="B138" s="48" t="s">
        <v>119</v>
      </c>
      <c r="C138" s="20" t="s">
        <v>162</v>
      </c>
      <c r="D138" s="45">
        <v>25</v>
      </c>
      <c r="E138" s="86">
        <f t="array" ref="E138">IF(C138="","",IFERROR(INDEX(Cost!$B$2:$B$4, MATCH("*" &amp; C138 &amp; "*", Cost!$A$2:$A$4, 0)), "Lỗi dữ liệu"))</f>
        <v>1</v>
      </c>
      <c r="F138" s="39" cm="1">
        <f t="array" ref="F138">_xlfn.IFS( C138="Road",LOOKUP(D138,{0,50,150},Cost!$B$8:$B$10), C138="Barge",Cost!$B$11, C138="Rail",Cost!$B$12, TRUE,0 )</f>
        <v>800000</v>
      </c>
      <c r="G138" s="88">
        <v>0</v>
      </c>
      <c r="H138" s="35">
        <v>1</v>
      </c>
      <c r="I138" s="40">
        <v>0</v>
      </c>
      <c r="J138" s="45"/>
      <c r="K138" s="41"/>
      <c r="L138" s="41"/>
      <c r="M138" s="41"/>
      <c r="N138" s="41"/>
      <c r="O138" s="41"/>
      <c r="P138" s="41"/>
      <c r="Q138" s="41"/>
      <c r="R138" s="41"/>
      <c r="S138" s="41"/>
      <c r="T138" s="41"/>
      <c r="U138" s="41"/>
      <c r="V138" s="41"/>
      <c r="W138" s="41"/>
      <c r="X138" s="41"/>
      <c r="Y138" s="41"/>
      <c r="Z138" s="41"/>
    </row>
    <row r="139" spans="1:26" ht="30" customHeight="1" x14ac:dyDescent="0.3">
      <c r="A139" s="48" t="s">
        <v>49</v>
      </c>
      <c r="B139" s="48" t="s">
        <v>119</v>
      </c>
      <c r="C139" s="20" t="s">
        <v>152</v>
      </c>
      <c r="D139" s="45">
        <v>35</v>
      </c>
      <c r="E139" s="86">
        <f t="array" ref="E139">IF(C139="","",IFERROR(INDEX(Cost!$B$2:$B$4, MATCH("*" &amp; C139 &amp; "*", Cost!$A$2:$A$4, 0)), "Lỗi dữ liệu"))</f>
        <v>0.4</v>
      </c>
      <c r="F139" s="39" cm="1">
        <f t="array" ref="F139">_xlfn.IFS( C139="Road",LOOKUP(D139,{0,50,150},Cost!$B$8:$B$10), C139="Barge",Cost!$B$11, C139="Rail",Cost!$B$12, TRUE,0 )</f>
        <v>500000</v>
      </c>
      <c r="G139" s="88">
        <f>IF(C139="","",IFERROR(INDEX(Cost!$B$16:$B$18, MATCH("*" &amp; C139 &amp; "*", Cost!$A$2:$A$4, 0)), "Lỗi dữ liệu"))</f>
        <v>20000000</v>
      </c>
      <c r="H139" s="35">
        <v>1</v>
      </c>
      <c r="I139" s="40">
        <v>0</v>
      </c>
      <c r="J139" s="45"/>
      <c r="K139" s="41"/>
      <c r="L139" s="41"/>
      <c r="M139" s="41"/>
      <c r="N139" s="41"/>
      <c r="O139" s="41"/>
      <c r="P139" s="41"/>
      <c r="Q139" s="41"/>
      <c r="R139" s="41"/>
      <c r="S139" s="41"/>
      <c r="T139" s="41"/>
      <c r="U139" s="41"/>
      <c r="V139" s="41"/>
      <c r="W139" s="41"/>
      <c r="X139" s="41"/>
      <c r="Y139" s="41"/>
      <c r="Z139" s="41"/>
    </row>
    <row r="140" spans="1:26" ht="30" customHeight="1" x14ac:dyDescent="0.3">
      <c r="A140" s="48" t="s">
        <v>49</v>
      </c>
      <c r="B140" s="48" t="s">
        <v>119</v>
      </c>
      <c r="C140" s="20" t="s">
        <v>139</v>
      </c>
      <c r="D140" s="45">
        <v>30</v>
      </c>
      <c r="E140" s="86">
        <f t="array" ref="E140">IF(C140="","",IFERROR(INDEX(Cost!$B$2:$B$4, MATCH("*" &amp; C140 &amp; "*", Cost!$A$2:$A$4, 0)), "Lỗi dữ liệu"))</f>
        <v>0.25</v>
      </c>
      <c r="F140" s="39" cm="1">
        <f t="array" ref="F140">_xlfn.IFS( C140="Road",LOOKUP(D140,{0,50,150},Cost!$B$8:$B$10), C140="Barge",Cost!$B$11, C140="Rail",Cost!$B$12, TRUE,0 )</f>
        <v>1000000</v>
      </c>
      <c r="G140" s="88">
        <f>IF(C140="","",IFERROR(INDEX(Cost!$B$16:$B$18, MATCH("*" &amp; C140 &amp; "*", Cost!$A$2:$A$4, 0)), "Lỗi dữ liệu"))</f>
        <v>80000000</v>
      </c>
      <c r="H140" s="35">
        <v>1</v>
      </c>
      <c r="I140" s="40">
        <v>0</v>
      </c>
      <c r="J140" s="45"/>
      <c r="K140" s="41"/>
      <c r="L140" s="41"/>
      <c r="M140" s="41"/>
      <c r="N140" s="41"/>
      <c r="O140" s="41"/>
      <c r="P140" s="41"/>
      <c r="Q140" s="41"/>
      <c r="R140" s="41"/>
      <c r="S140" s="41"/>
      <c r="T140" s="41"/>
      <c r="U140" s="41"/>
      <c r="V140" s="41"/>
      <c r="W140" s="41"/>
      <c r="X140" s="41"/>
      <c r="Y140" s="41"/>
      <c r="Z140" s="41"/>
    </row>
    <row r="141" spans="1:26" ht="30" customHeight="1" x14ac:dyDescent="0.3">
      <c r="A141" s="48" t="s">
        <v>49</v>
      </c>
      <c r="B141" s="48" t="s">
        <v>126</v>
      </c>
      <c r="C141" s="20" t="s">
        <v>162</v>
      </c>
      <c r="D141" s="45">
        <v>120</v>
      </c>
      <c r="E141" s="86">
        <f t="array" ref="E141">IF(C141="","",IFERROR(INDEX(Cost!$B$2:$B$4, MATCH("*" &amp; C141 &amp; "*", Cost!$A$2:$A$4, 0)), "Lỗi dữ liệu"))</f>
        <v>1</v>
      </c>
      <c r="F141" s="39" cm="1">
        <f t="array" ref="F141">_xlfn.IFS( C141="Road",LOOKUP(D141,{0,50,150},Cost!$B$8:$B$10), C141="Barge",Cost!$B$11, C141="Rail",Cost!$B$12, TRUE,0 )</f>
        <v>500000</v>
      </c>
      <c r="G141" s="88">
        <f>IF(C141="","",IFERROR(INDEX(Cost!$B$16:$B$18, MATCH("*" &amp; C141 &amp; "*", Cost!$A$2:$A$4, 0)), "Lỗi dữ liệu"))</f>
        <v>6000000</v>
      </c>
      <c r="H141" s="35">
        <v>1</v>
      </c>
      <c r="I141" s="40">
        <v>0</v>
      </c>
      <c r="J141" s="45"/>
      <c r="K141" s="3"/>
      <c r="L141" s="3"/>
      <c r="M141" s="3"/>
      <c r="N141" s="3"/>
      <c r="O141" s="3"/>
      <c r="P141" s="3"/>
      <c r="Q141" s="3"/>
      <c r="R141" s="3"/>
      <c r="S141" s="3"/>
      <c r="T141" s="3"/>
      <c r="U141" s="3"/>
      <c r="V141" s="3"/>
      <c r="W141" s="3"/>
      <c r="X141" s="3"/>
      <c r="Y141" s="3"/>
      <c r="Z141" s="3"/>
    </row>
    <row r="142" spans="1:26" ht="30" customHeight="1" x14ac:dyDescent="0.3">
      <c r="A142" s="48" t="s">
        <v>49</v>
      </c>
      <c r="B142" s="48" t="s">
        <v>126</v>
      </c>
      <c r="C142" s="20" t="s">
        <v>139</v>
      </c>
      <c r="D142" s="45">
        <v>130</v>
      </c>
      <c r="E142" s="86">
        <f t="array" ref="E142">IF(C142="","",IFERROR(INDEX(Cost!$B$2:$B$4, MATCH("*" &amp; C142 &amp; "*", Cost!$A$2:$A$4, 0)), "Lỗi dữ liệu"))</f>
        <v>0.25</v>
      </c>
      <c r="F142" s="39" cm="1">
        <f t="array" ref="F142">_xlfn.IFS( C142="Road",LOOKUP(D142,{0,50,150},Cost!$B$8:$B$10), C142="Barge",Cost!$B$11, C142="Rail",Cost!$B$12, TRUE,0 )</f>
        <v>1000000</v>
      </c>
      <c r="G142" s="88">
        <f>IF(C142="","",IFERROR(INDEX(Cost!$B$16:$B$18, MATCH("*" &amp; C142 &amp; "*", Cost!$A$2:$A$4, 0)), "Lỗi dữ liệu"))</f>
        <v>80000000</v>
      </c>
      <c r="H142" s="35">
        <v>1</v>
      </c>
      <c r="I142" s="40">
        <v>0</v>
      </c>
      <c r="J142" s="45"/>
      <c r="K142" s="3"/>
      <c r="L142" s="3"/>
      <c r="M142" s="3"/>
      <c r="N142" s="3"/>
      <c r="O142" s="3"/>
      <c r="P142" s="3"/>
      <c r="Q142" s="3"/>
      <c r="R142" s="3"/>
      <c r="S142" s="3"/>
      <c r="T142" s="3"/>
      <c r="U142" s="3"/>
      <c r="V142" s="3"/>
      <c r="W142" s="3"/>
      <c r="X142" s="3"/>
      <c r="Y142" s="3"/>
      <c r="Z142" s="3"/>
    </row>
    <row r="143" spans="1:26" ht="30" customHeight="1" x14ac:dyDescent="0.3">
      <c r="A143" s="49" t="s">
        <v>58</v>
      </c>
      <c r="B143" s="49" t="s">
        <v>24</v>
      </c>
      <c r="C143" s="20" t="s">
        <v>162</v>
      </c>
      <c r="D143" s="45">
        <v>122</v>
      </c>
      <c r="E143" s="86">
        <f t="array" ref="E143">IF(C143="","",IFERROR(INDEX(Cost!$B$2:$B$4, MATCH("*" &amp; C143 &amp; "*", Cost!$A$2:$A$4, 0)), "Lỗi dữ liệu"))</f>
        <v>1</v>
      </c>
      <c r="F143" s="39" cm="1">
        <f t="array" ref="F143">_xlfn.IFS( C143="Road",LOOKUP(D143,{0,50,150},Cost!$B$8:$B$10), C143="Barge",Cost!$B$11, C143="Rail",Cost!$B$12, TRUE,0 )</f>
        <v>500000</v>
      </c>
      <c r="G143" s="88">
        <v>0</v>
      </c>
      <c r="H143" s="35">
        <v>1</v>
      </c>
      <c r="I143" s="40">
        <v>1</v>
      </c>
      <c r="J143" s="45"/>
      <c r="K143" s="41"/>
      <c r="L143" s="41"/>
      <c r="M143" s="41"/>
      <c r="N143" s="41"/>
      <c r="O143" s="41"/>
      <c r="P143" s="41"/>
      <c r="Q143" s="41"/>
      <c r="R143" s="41"/>
      <c r="S143" s="41"/>
      <c r="T143" s="41"/>
      <c r="U143" s="41"/>
      <c r="V143" s="41"/>
      <c r="W143" s="41"/>
      <c r="X143" s="41"/>
      <c r="Y143" s="41"/>
      <c r="Z143" s="41"/>
    </row>
    <row r="144" spans="1:26" ht="30" customHeight="1" x14ac:dyDescent="0.3">
      <c r="A144" s="49" t="s">
        <v>58</v>
      </c>
      <c r="B144" s="49" t="s">
        <v>24</v>
      </c>
      <c r="C144" s="20" t="s">
        <v>152</v>
      </c>
      <c r="D144" s="45">
        <v>145</v>
      </c>
      <c r="E144" s="86">
        <f t="array" ref="E144">IF(C144="","",IFERROR(INDEX(Cost!$B$2:$B$4, MATCH("*" &amp; C144 &amp; "*", Cost!$A$2:$A$4, 0)), "Lỗi dữ liệu"))</f>
        <v>0.4</v>
      </c>
      <c r="F144" s="39" cm="1">
        <f t="array" ref="F144">_xlfn.IFS( C144="Road",LOOKUP(D144,{0,50,150},Cost!$B$8:$B$10), C144="Barge",Cost!$B$11, C144="Rail",Cost!$B$12, TRUE,0 )</f>
        <v>500000</v>
      </c>
      <c r="G144" s="88">
        <f>IF(C144="","",IFERROR(INDEX(Cost!$B$16:$B$18, MATCH("*" &amp; C144 &amp; "*", Cost!$A$2:$A$4, 0)), "Lỗi dữ liệu"))</f>
        <v>20000000</v>
      </c>
      <c r="H144" s="35">
        <v>1</v>
      </c>
      <c r="I144" s="40">
        <v>1</v>
      </c>
      <c r="J144" s="45"/>
      <c r="K144" s="41"/>
      <c r="L144" s="41"/>
      <c r="M144" s="41"/>
      <c r="N144" s="41"/>
      <c r="O144" s="41"/>
      <c r="P144" s="41"/>
      <c r="Q144" s="41"/>
      <c r="R144" s="41"/>
      <c r="S144" s="41"/>
      <c r="T144" s="41"/>
      <c r="U144" s="41"/>
      <c r="V144" s="41"/>
      <c r="W144" s="41"/>
      <c r="X144" s="41"/>
      <c r="Y144" s="41"/>
      <c r="Z144" s="41"/>
    </row>
    <row r="145" spans="1:26" ht="30" customHeight="1" x14ac:dyDescent="0.3">
      <c r="A145" s="49" t="s">
        <v>58</v>
      </c>
      <c r="B145" s="49" t="s">
        <v>24</v>
      </c>
      <c r="C145" s="20" t="s">
        <v>139</v>
      </c>
      <c r="D145" s="45">
        <v>135</v>
      </c>
      <c r="E145" s="86">
        <f t="array" ref="E145">IF(C145="","",IFERROR(INDEX(Cost!$B$2:$B$4, MATCH("*" &amp; C145 &amp; "*", Cost!$A$2:$A$4, 0)), "Lỗi dữ liệu"))</f>
        <v>0.25</v>
      </c>
      <c r="F145" s="39" cm="1">
        <f t="array" ref="F145">_xlfn.IFS( C145="Road",LOOKUP(D145,{0,50,150},Cost!$B$8:$B$10), C145="Barge",Cost!$B$11, C145="Rail",Cost!$B$12, TRUE,0 )</f>
        <v>1000000</v>
      </c>
      <c r="G145" s="88">
        <f>IF(C145="","",IFERROR(INDEX(Cost!$B$16:$B$18, MATCH("*" &amp; C145 &amp; "*", Cost!$A$2:$A$4, 0)), "Lỗi dữ liệu"))</f>
        <v>80000000</v>
      </c>
      <c r="H145" s="35">
        <v>1</v>
      </c>
      <c r="I145" s="40">
        <v>1</v>
      </c>
      <c r="J145" s="45"/>
      <c r="K145" s="41"/>
      <c r="L145" s="41"/>
      <c r="M145" s="41"/>
      <c r="N145" s="41"/>
      <c r="O145" s="41"/>
      <c r="P145" s="41"/>
      <c r="Q145" s="41"/>
      <c r="R145" s="41"/>
      <c r="S145" s="41"/>
      <c r="T145" s="41"/>
      <c r="U145" s="41"/>
      <c r="V145" s="41"/>
      <c r="W145" s="41"/>
      <c r="X145" s="41"/>
      <c r="Y145" s="41"/>
      <c r="Z145" s="41"/>
    </row>
    <row r="146" spans="1:26" ht="30" customHeight="1" x14ac:dyDescent="0.3">
      <c r="A146" s="49" t="s">
        <v>58</v>
      </c>
      <c r="B146" s="49" t="s">
        <v>11</v>
      </c>
      <c r="C146" s="20" t="s">
        <v>162</v>
      </c>
      <c r="D146" s="45">
        <v>105</v>
      </c>
      <c r="E146" s="86">
        <f t="array" ref="E146">IF(C146="","",IFERROR(INDEX(Cost!$B$2:$B$4, MATCH("*" &amp; C146 &amp; "*", Cost!$A$2:$A$4, 0)), "Lỗi dữ liệu"))</f>
        <v>1</v>
      </c>
      <c r="F146" s="39" cm="1">
        <f t="array" ref="F146">_xlfn.IFS( C146="Road",LOOKUP(D146,{0,50,150},Cost!$B$8:$B$10), C146="Barge",Cost!$B$11, C146="Rail",Cost!$B$12, TRUE,0 )</f>
        <v>500000</v>
      </c>
      <c r="G146" s="88">
        <f>IF(C146="","",IFERROR(INDEX(Cost!$B$16:$B$18, MATCH("*" &amp; C146 &amp; "*", Cost!$A$2:$A$4, 0)), "Lỗi dữ liệu"))</f>
        <v>6000000</v>
      </c>
      <c r="H146" s="35">
        <v>1</v>
      </c>
      <c r="I146" s="40">
        <v>0</v>
      </c>
      <c r="J146" s="45"/>
      <c r="K146" s="3"/>
      <c r="L146" s="3"/>
      <c r="M146" s="3"/>
      <c r="N146" s="3"/>
      <c r="O146" s="3"/>
      <c r="P146" s="3"/>
      <c r="Q146" s="3"/>
      <c r="R146" s="3"/>
      <c r="S146" s="3"/>
      <c r="T146" s="3"/>
      <c r="U146" s="3"/>
      <c r="V146" s="3"/>
      <c r="W146" s="3"/>
      <c r="X146" s="3"/>
      <c r="Y146" s="3"/>
      <c r="Z146" s="3"/>
    </row>
    <row r="147" spans="1:26" ht="30" customHeight="1" x14ac:dyDescent="0.3">
      <c r="A147" s="49" t="s">
        <v>58</v>
      </c>
      <c r="B147" s="49" t="s">
        <v>11</v>
      </c>
      <c r="C147" s="20" t="s">
        <v>152</v>
      </c>
      <c r="D147" s="45">
        <v>120</v>
      </c>
      <c r="E147" s="86">
        <f t="array" ref="E147">IF(C147="","",IFERROR(INDEX(Cost!$B$2:$B$4, MATCH("*" &amp; C147 &amp; "*", Cost!$A$2:$A$4, 0)), "Lỗi dữ liệu"))</f>
        <v>0.4</v>
      </c>
      <c r="F147" s="39" cm="1">
        <f t="array" ref="F147">_xlfn.IFS( C147="Road",LOOKUP(D147,{0,50,150},Cost!$B$8:$B$10), C147="Barge",Cost!$B$11, C147="Rail",Cost!$B$12, TRUE,0 )</f>
        <v>500000</v>
      </c>
      <c r="G147" s="88">
        <f>IF(C147="","",IFERROR(INDEX(Cost!$B$16:$B$18, MATCH("*" &amp; C147 &amp; "*", Cost!$A$2:$A$4, 0)), "Lỗi dữ liệu"))</f>
        <v>20000000</v>
      </c>
      <c r="H147" s="35">
        <v>1</v>
      </c>
      <c r="I147" s="40">
        <v>0</v>
      </c>
      <c r="J147" s="45"/>
      <c r="K147" s="3"/>
      <c r="L147" s="3"/>
      <c r="M147" s="3"/>
      <c r="N147" s="3"/>
      <c r="O147" s="3"/>
      <c r="P147" s="3"/>
      <c r="Q147" s="3"/>
      <c r="R147" s="3"/>
      <c r="S147" s="3"/>
      <c r="T147" s="3"/>
      <c r="U147" s="3"/>
      <c r="V147" s="3"/>
      <c r="W147" s="3"/>
      <c r="X147" s="3"/>
      <c r="Y147" s="3"/>
      <c r="Z147" s="3"/>
    </row>
    <row r="148" spans="1:26" ht="30" customHeight="1" x14ac:dyDescent="0.3">
      <c r="A148" s="49" t="s">
        <v>58</v>
      </c>
      <c r="B148" s="49" t="s">
        <v>11</v>
      </c>
      <c r="C148" s="20" t="s">
        <v>139</v>
      </c>
      <c r="D148" s="45">
        <v>115</v>
      </c>
      <c r="E148" s="86">
        <f t="array" ref="E148">IF(C148="","",IFERROR(INDEX(Cost!$B$2:$B$4, MATCH("*" &amp; C148 &amp; "*", Cost!$A$2:$A$4, 0)), "Lỗi dữ liệu"))</f>
        <v>0.25</v>
      </c>
      <c r="F148" s="39" cm="1">
        <f t="array" ref="F148">_xlfn.IFS( C148="Road",LOOKUP(D148,{0,50,150},Cost!$B$8:$B$10), C148="Barge",Cost!$B$11, C148="Rail",Cost!$B$12, TRUE,0 )</f>
        <v>1000000</v>
      </c>
      <c r="G148" s="88">
        <f>IF(C148="","",IFERROR(INDEX(Cost!$B$16:$B$18, MATCH("*" &amp; C148 &amp; "*", Cost!$A$2:$A$4, 0)), "Lỗi dữ liệu"))</f>
        <v>80000000</v>
      </c>
      <c r="H148" s="35">
        <v>1</v>
      </c>
      <c r="I148" s="40">
        <v>0</v>
      </c>
      <c r="J148" s="45"/>
      <c r="K148" s="3"/>
      <c r="L148" s="3"/>
      <c r="M148" s="3"/>
      <c r="N148" s="3"/>
      <c r="O148" s="3"/>
      <c r="P148" s="3"/>
      <c r="Q148" s="3"/>
      <c r="R148" s="3"/>
      <c r="S148" s="3"/>
      <c r="T148" s="3"/>
      <c r="U148" s="3"/>
      <c r="V148" s="3"/>
      <c r="W148" s="3"/>
      <c r="X148" s="3"/>
      <c r="Y148" s="3"/>
      <c r="Z148" s="3"/>
    </row>
    <row r="149" spans="1:26" ht="30" customHeight="1" x14ac:dyDescent="0.3">
      <c r="A149" s="49" t="s">
        <v>58</v>
      </c>
      <c r="B149" s="49" t="s">
        <v>17</v>
      </c>
      <c r="C149" s="20" t="s">
        <v>162</v>
      </c>
      <c r="D149" s="45">
        <v>100</v>
      </c>
      <c r="E149" s="86">
        <f t="array" ref="E149">IF(C149="","",IFERROR(INDEX(Cost!$B$2:$B$4, MATCH("*" &amp; C149 &amp; "*", Cost!$A$2:$A$4, 0)), "Lỗi dữ liệu"))</f>
        <v>1</v>
      </c>
      <c r="F149" s="39" cm="1">
        <f t="array" ref="F149">_xlfn.IFS( C149="Road",LOOKUP(D149,{0,50,150},Cost!$B$8:$B$10), C149="Barge",Cost!$B$11, C149="Rail",Cost!$B$12, TRUE,0 )</f>
        <v>500000</v>
      </c>
      <c r="G149" s="88">
        <f>IF(C149="","",IFERROR(INDEX(Cost!$B$16:$B$18, MATCH("*" &amp; C149 &amp; "*", Cost!$A$2:$A$4, 0)), "Lỗi dữ liệu"))</f>
        <v>6000000</v>
      </c>
      <c r="H149" s="35">
        <v>1</v>
      </c>
      <c r="I149" s="40">
        <v>0</v>
      </c>
      <c r="J149" s="45"/>
      <c r="K149" s="41"/>
      <c r="L149" s="41"/>
      <c r="M149" s="41"/>
      <c r="N149" s="41"/>
      <c r="O149" s="41"/>
      <c r="P149" s="41"/>
      <c r="Q149" s="41"/>
      <c r="R149" s="41"/>
      <c r="S149" s="41"/>
      <c r="T149" s="41"/>
      <c r="U149" s="41"/>
      <c r="V149" s="41"/>
      <c r="W149" s="41"/>
      <c r="X149" s="41"/>
      <c r="Y149" s="41"/>
      <c r="Z149" s="41"/>
    </row>
    <row r="150" spans="1:26" ht="30" customHeight="1" x14ac:dyDescent="0.3">
      <c r="A150" s="49" t="s">
        <v>58</v>
      </c>
      <c r="B150" s="49" t="s">
        <v>17</v>
      </c>
      <c r="C150" s="20" t="s">
        <v>152</v>
      </c>
      <c r="D150" s="45">
        <v>115</v>
      </c>
      <c r="E150" s="86">
        <f t="array" ref="E150">IF(C150="","",IFERROR(INDEX(Cost!$B$2:$B$4, MATCH("*" &amp; C150 &amp; "*", Cost!$A$2:$A$4, 0)), "Lỗi dữ liệu"))</f>
        <v>0.4</v>
      </c>
      <c r="F150" s="39" cm="1">
        <f t="array" ref="F150">_xlfn.IFS( C150="Road",LOOKUP(D150,{0,50,150},Cost!$B$8:$B$10), C150="Barge",Cost!$B$11, C150="Rail",Cost!$B$12, TRUE,0 )</f>
        <v>500000</v>
      </c>
      <c r="G150" s="88">
        <f>IF(C150="","",IFERROR(INDEX(Cost!$B$16:$B$18, MATCH("*" &amp; C150 &amp; "*", Cost!$A$2:$A$4, 0)), "Lỗi dữ liệu"))</f>
        <v>20000000</v>
      </c>
      <c r="H150" s="35">
        <v>1</v>
      </c>
      <c r="I150" s="40">
        <v>0</v>
      </c>
      <c r="J150" s="45"/>
      <c r="K150" s="41"/>
      <c r="L150" s="41"/>
      <c r="M150" s="41"/>
      <c r="N150" s="41"/>
      <c r="O150" s="41"/>
      <c r="P150" s="41"/>
      <c r="Q150" s="41"/>
      <c r="R150" s="41"/>
      <c r="S150" s="41"/>
      <c r="T150" s="41"/>
      <c r="U150" s="41"/>
      <c r="V150" s="41"/>
      <c r="W150" s="41"/>
      <c r="X150" s="41"/>
      <c r="Y150" s="41"/>
      <c r="Z150" s="41"/>
    </row>
    <row r="151" spans="1:26" ht="30" customHeight="1" x14ac:dyDescent="0.3">
      <c r="A151" s="49" t="s">
        <v>58</v>
      </c>
      <c r="B151" s="49" t="s">
        <v>17</v>
      </c>
      <c r="C151" s="20" t="s">
        <v>139</v>
      </c>
      <c r="D151" s="45">
        <v>110</v>
      </c>
      <c r="E151" s="86">
        <f t="array" ref="E151">IF(C151="","",IFERROR(INDEX(Cost!$B$2:$B$4, MATCH("*" &amp; C151 &amp; "*", Cost!$A$2:$A$4, 0)), "Lỗi dữ liệu"))</f>
        <v>0.25</v>
      </c>
      <c r="F151" s="39" cm="1">
        <f t="array" ref="F151">_xlfn.IFS( C151="Road",LOOKUP(D151,{0,50,150},Cost!$B$8:$B$10), C151="Barge",Cost!$B$11, C151="Rail",Cost!$B$12, TRUE,0 )</f>
        <v>1000000</v>
      </c>
      <c r="G151" s="88">
        <f>IF(C151="","",IFERROR(INDEX(Cost!$B$16:$B$18, MATCH("*" &amp; C151 &amp; "*", Cost!$A$2:$A$4, 0)), "Lỗi dữ liệu"))</f>
        <v>80000000</v>
      </c>
      <c r="H151" s="35">
        <v>1</v>
      </c>
      <c r="I151" s="40">
        <v>0</v>
      </c>
      <c r="J151" s="45"/>
      <c r="K151" s="41"/>
      <c r="L151" s="41"/>
      <c r="M151" s="41"/>
      <c r="N151" s="41"/>
      <c r="O151" s="41"/>
      <c r="P151" s="41"/>
      <c r="Q151" s="41"/>
      <c r="R151" s="41"/>
      <c r="S151" s="41"/>
      <c r="T151" s="41"/>
      <c r="U151" s="41"/>
      <c r="V151" s="41"/>
      <c r="W151" s="41"/>
      <c r="X151" s="41"/>
      <c r="Y151" s="41"/>
      <c r="Z151" s="41"/>
    </row>
    <row r="152" spans="1:26" ht="30" customHeight="1" x14ac:dyDescent="0.3">
      <c r="A152" s="49" t="s">
        <v>58</v>
      </c>
      <c r="B152" s="49" t="s">
        <v>29</v>
      </c>
      <c r="C152" s="20" t="s">
        <v>162</v>
      </c>
      <c r="D152" s="45">
        <v>95</v>
      </c>
      <c r="E152" s="86">
        <f t="array" ref="E152">IF(C152="","",IFERROR(INDEX(Cost!$B$2:$B$4, MATCH("*" &amp; C152 &amp; "*", Cost!$A$2:$A$4, 0)), "Lỗi dữ liệu"))</f>
        <v>1</v>
      </c>
      <c r="F152" s="39" cm="1">
        <f t="array" ref="F152">_xlfn.IFS( C152="Road",LOOKUP(D152,{0,50,150},Cost!$B$8:$B$10), C152="Barge",Cost!$B$11, C152="Rail",Cost!$B$12, TRUE,0 )</f>
        <v>500000</v>
      </c>
      <c r="G152" s="88">
        <f>IF(C152="","",IFERROR(INDEX(Cost!$B$16:$B$18, MATCH("*" &amp; C152 &amp; "*", Cost!$A$2:$A$4, 0)), "Lỗi dữ liệu"))</f>
        <v>6000000</v>
      </c>
      <c r="H152" s="35">
        <v>1</v>
      </c>
      <c r="I152" s="40">
        <v>0</v>
      </c>
      <c r="J152" s="45"/>
      <c r="K152" s="3"/>
      <c r="L152" s="3"/>
      <c r="M152" s="3"/>
      <c r="N152" s="3"/>
      <c r="O152" s="3"/>
      <c r="P152" s="3"/>
      <c r="Q152" s="3"/>
      <c r="R152" s="3"/>
      <c r="S152" s="3"/>
      <c r="T152" s="3"/>
      <c r="U152" s="3"/>
      <c r="V152" s="3"/>
      <c r="W152" s="3"/>
      <c r="X152" s="3"/>
      <c r="Y152" s="3"/>
      <c r="Z152" s="3"/>
    </row>
    <row r="153" spans="1:26" ht="30" customHeight="1" x14ac:dyDescent="0.3">
      <c r="A153" s="49" t="s">
        <v>58</v>
      </c>
      <c r="B153" s="49" t="s">
        <v>29</v>
      </c>
      <c r="C153" s="20" t="s">
        <v>152</v>
      </c>
      <c r="D153" s="45">
        <v>110</v>
      </c>
      <c r="E153" s="86">
        <f t="array" ref="E153">IF(C153="","",IFERROR(INDEX(Cost!$B$2:$B$4, MATCH("*" &amp; C153 &amp; "*", Cost!$A$2:$A$4, 0)), "Lỗi dữ liệu"))</f>
        <v>0.4</v>
      </c>
      <c r="F153" s="39" cm="1">
        <f t="array" ref="F153">_xlfn.IFS( C153="Road",LOOKUP(D153,{0,50,150},Cost!$B$8:$B$10), C153="Barge",Cost!$B$11, C153="Rail",Cost!$B$12, TRUE,0 )</f>
        <v>500000</v>
      </c>
      <c r="G153" s="88">
        <f>IF(C153="","",IFERROR(INDEX(Cost!$B$16:$B$18, MATCH("*" &amp; C153 &amp; "*", Cost!$A$2:$A$4, 0)), "Lỗi dữ liệu"))</f>
        <v>20000000</v>
      </c>
      <c r="H153" s="35">
        <v>1</v>
      </c>
      <c r="I153" s="40">
        <v>0</v>
      </c>
      <c r="J153" s="45"/>
      <c r="K153" s="3"/>
      <c r="L153" s="3"/>
      <c r="M153" s="3"/>
      <c r="N153" s="3"/>
      <c r="O153" s="3"/>
      <c r="P153" s="3"/>
      <c r="Q153" s="3"/>
      <c r="R153" s="3"/>
      <c r="S153" s="3"/>
      <c r="T153" s="3"/>
      <c r="U153" s="3"/>
      <c r="V153" s="3"/>
      <c r="W153" s="3"/>
      <c r="X153" s="3"/>
      <c r="Y153" s="3"/>
      <c r="Z153" s="3"/>
    </row>
    <row r="154" spans="1:26" ht="30" customHeight="1" x14ac:dyDescent="0.3">
      <c r="A154" s="49" t="s">
        <v>58</v>
      </c>
      <c r="B154" s="49" t="s">
        <v>49</v>
      </c>
      <c r="C154" s="20" t="s">
        <v>162</v>
      </c>
      <c r="D154" s="45">
        <v>48</v>
      </c>
      <c r="E154" s="86">
        <f t="array" ref="E154">IF(C154="","",IFERROR(INDEX(Cost!$B$2:$B$4, MATCH("*" &amp; C154 &amp; "*", Cost!$A$2:$A$4, 0)), "Lỗi dữ liệu"))</f>
        <v>1</v>
      </c>
      <c r="F154" s="39" cm="1">
        <f t="array" ref="F154">_xlfn.IFS( C154="Road",LOOKUP(D154,{0,50,150},Cost!$B$8:$B$10), C154="Barge",Cost!$B$11, C154="Rail",Cost!$B$12, TRUE,0 )</f>
        <v>800000</v>
      </c>
      <c r="G154" s="88">
        <f>IF(C154="","",IFERROR(INDEX(Cost!$B$16:$B$18, MATCH("*" &amp; C154 &amp; "*", Cost!$A$2:$A$4, 0)), "Lỗi dữ liệu"))</f>
        <v>6000000</v>
      </c>
      <c r="H154" s="35">
        <v>1</v>
      </c>
      <c r="I154" s="40">
        <v>0</v>
      </c>
      <c r="J154" s="45"/>
      <c r="K154" s="41"/>
      <c r="L154" s="41"/>
      <c r="M154" s="41"/>
      <c r="N154" s="41"/>
      <c r="O154" s="41"/>
      <c r="P154" s="41"/>
      <c r="Q154" s="41"/>
      <c r="R154" s="41"/>
      <c r="S154" s="41"/>
      <c r="T154" s="41"/>
      <c r="U154" s="41"/>
      <c r="V154" s="41"/>
      <c r="W154" s="41"/>
      <c r="X154" s="41"/>
      <c r="Y154" s="41"/>
      <c r="Z154" s="41"/>
    </row>
    <row r="155" spans="1:26" ht="30" customHeight="1" x14ac:dyDescent="0.3">
      <c r="A155" s="49" t="s">
        <v>58</v>
      </c>
      <c r="B155" s="49" t="s">
        <v>49</v>
      </c>
      <c r="C155" s="37" t="s">
        <v>152</v>
      </c>
      <c r="D155" s="45">
        <v>60</v>
      </c>
      <c r="E155" s="86">
        <f t="array" ref="E155">IF(C155="","",IFERROR(INDEX(Cost!$B$2:$B$4, MATCH("*" &amp; C155 &amp; "*", Cost!$A$2:$A$4, 0)), "Lỗi dữ liệu"))</f>
        <v>0.4</v>
      </c>
      <c r="F155" s="39" cm="1">
        <f t="array" ref="F155">_xlfn.IFS( C155="Road",LOOKUP(D155,{0,50,150},Cost!$B$8:$B$10), C155="Barge",Cost!$B$11, C155="Rail",Cost!$B$12, TRUE,0 )</f>
        <v>500000</v>
      </c>
      <c r="G155" s="88">
        <f>IF(C155="","",IFERROR(INDEX(Cost!$B$16:$B$18, MATCH("*" &amp; C155 &amp; "*", Cost!$A$2:$A$4, 0)), "Lỗi dữ liệu"))</f>
        <v>20000000</v>
      </c>
      <c r="H155" s="35">
        <v>1</v>
      </c>
      <c r="I155" s="40">
        <v>0</v>
      </c>
      <c r="J155" s="45"/>
      <c r="K155" s="41"/>
      <c r="L155" s="41"/>
      <c r="M155" s="41"/>
      <c r="N155" s="41"/>
      <c r="O155" s="41"/>
      <c r="P155" s="41"/>
      <c r="Q155" s="41"/>
      <c r="R155" s="41"/>
      <c r="S155" s="41"/>
      <c r="T155" s="41"/>
      <c r="U155" s="41"/>
      <c r="V155" s="41"/>
      <c r="W155" s="41"/>
      <c r="X155" s="41"/>
      <c r="Y155" s="41"/>
      <c r="Z155" s="41"/>
    </row>
    <row r="156" spans="1:26" ht="30" customHeight="1" x14ac:dyDescent="0.3">
      <c r="A156" s="49" t="s">
        <v>58</v>
      </c>
      <c r="B156" s="49" t="s">
        <v>49</v>
      </c>
      <c r="C156" s="37" t="s">
        <v>139</v>
      </c>
      <c r="D156" s="45">
        <v>50</v>
      </c>
      <c r="E156" s="86">
        <f t="array" ref="E156">IF(C156="","",IFERROR(INDEX(Cost!$B$2:$B$4, MATCH("*" &amp; C156 &amp; "*", Cost!$A$2:$A$4, 0)), "Lỗi dữ liệu"))</f>
        <v>0.25</v>
      </c>
      <c r="F156" s="39" cm="1">
        <f t="array" ref="F156">_xlfn.IFS( C156="Road",LOOKUP(D156,{0,50,150},Cost!$B$8:$B$10), C156="Barge",Cost!$B$11, C156="Rail",Cost!$B$12, TRUE,0 )</f>
        <v>1000000</v>
      </c>
      <c r="G156" s="88">
        <f>IF(C156="","",IFERROR(INDEX(Cost!$B$16:$B$18, MATCH("*" &amp; C156 &amp; "*", Cost!$A$2:$A$4, 0)), "Lỗi dữ liệu"))</f>
        <v>80000000</v>
      </c>
      <c r="H156" s="35">
        <v>1</v>
      </c>
      <c r="I156" s="40">
        <v>0</v>
      </c>
      <c r="J156" s="45"/>
      <c r="K156" s="41"/>
      <c r="L156" s="41"/>
      <c r="M156" s="41"/>
      <c r="N156" s="41"/>
      <c r="O156" s="41"/>
      <c r="P156" s="41"/>
      <c r="Q156" s="41"/>
      <c r="R156" s="41"/>
      <c r="S156" s="41"/>
      <c r="T156" s="41"/>
      <c r="U156" s="41"/>
      <c r="V156" s="41"/>
      <c r="W156" s="41"/>
      <c r="X156" s="41"/>
      <c r="Y156" s="41"/>
      <c r="Z156" s="41"/>
    </row>
    <row r="157" spans="1:26" ht="30" customHeight="1" x14ac:dyDescent="0.3">
      <c r="A157" s="49" t="s">
        <v>58</v>
      </c>
      <c r="B157" s="49" t="s">
        <v>63</v>
      </c>
      <c r="C157" s="37" t="s">
        <v>162</v>
      </c>
      <c r="D157" s="45">
        <v>50</v>
      </c>
      <c r="E157" s="86">
        <f t="array" ref="E157">IF(C157="","",IFERROR(INDEX(Cost!$B$2:$B$4, MATCH("*" &amp; C157 &amp; "*", Cost!$A$2:$A$4, 0)), "Lỗi dữ liệu"))</f>
        <v>1</v>
      </c>
      <c r="F157" s="39" cm="1">
        <f t="array" ref="F157">_xlfn.IFS( C157="Road",LOOKUP(D157,{0,50,150},Cost!$B$8:$B$10), C157="Barge",Cost!$B$11, C157="Rail",Cost!$B$12, TRUE,0 )</f>
        <v>500000</v>
      </c>
      <c r="G157" s="88">
        <f>IF(C157="","",IFERROR(INDEX(Cost!$B$16:$B$18, MATCH("*" &amp; C157 &amp; "*", Cost!$A$2:$A$4, 0)), "Lỗi dữ liệu"))</f>
        <v>6000000</v>
      </c>
      <c r="H157" s="35">
        <v>1</v>
      </c>
      <c r="I157" s="40">
        <v>0</v>
      </c>
      <c r="J157" s="45"/>
      <c r="K157" s="3"/>
      <c r="L157" s="3"/>
      <c r="M157" s="3"/>
      <c r="N157" s="3"/>
      <c r="O157" s="3"/>
      <c r="P157" s="3"/>
      <c r="Q157" s="3"/>
      <c r="R157" s="3"/>
      <c r="S157" s="3"/>
      <c r="T157" s="3"/>
      <c r="U157" s="3"/>
      <c r="V157" s="3"/>
      <c r="W157" s="3"/>
      <c r="X157" s="3"/>
      <c r="Y157" s="3"/>
      <c r="Z157" s="3"/>
    </row>
    <row r="158" spans="1:26" ht="30" customHeight="1" x14ac:dyDescent="0.3">
      <c r="A158" s="49" t="s">
        <v>58</v>
      </c>
      <c r="B158" s="49" t="s">
        <v>63</v>
      </c>
      <c r="C158" s="37" t="s">
        <v>152</v>
      </c>
      <c r="D158" s="45">
        <v>65</v>
      </c>
      <c r="E158" s="86">
        <f t="array" ref="E158">IF(C158="","",IFERROR(INDEX(Cost!$B$2:$B$4, MATCH("*" &amp; C158 &amp; "*", Cost!$A$2:$A$4, 0)), "Lỗi dữ liệu"))</f>
        <v>0.4</v>
      </c>
      <c r="F158" s="39" cm="1">
        <f t="array" ref="F158">_xlfn.IFS( C158="Road",LOOKUP(D158,{0,50,150},Cost!$B$8:$B$10), C158="Barge",Cost!$B$11, C158="Rail",Cost!$B$12, TRUE,0 )</f>
        <v>500000</v>
      </c>
      <c r="G158" s="88">
        <f>IF(C158="","",IFERROR(INDEX(Cost!$B$16:$B$18, MATCH("*" &amp; C158 &amp; "*", Cost!$A$2:$A$4, 0)), "Lỗi dữ liệu"))</f>
        <v>20000000</v>
      </c>
      <c r="H158" s="35">
        <v>1</v>
      </c>
      <c r="I158" s="40">
        <v>0</v>
      </c>
      <c r="J158" s="45"/>
      <c r="K158" s="3"/>
      <c r="L158" s="3"/>
      <c r="M158" s="3"/>
      <c r="N158" s="3"/>
      <c r="O158" s="3"/>
      <c r="P158" s="3"/>
      <c r="Q158" s="3"/>
      <c r="R158" s="3"/>
      <c r="S158" s="3"/>
      <c r="T158" s="3"/>
      <c r="U158" s="3"/>
      <c r="V158" s="3"/>
      <c r="W158" s="3"/>
      <c r="X158" s="3"/>
      <c r="Y158" s="3"/>
      <c r="Z158" s="3"/>
    </row>
    <row r="159" spans="1:26" ht="30" customHeight="1" x14ac:dyDescent="0.3">
      <c r="A159" s="49" t="s">
        <v>58</v>
      </c>
      <c r="B159" s="49" t="s">
        <v>63</v>
      </c>
      <c r="C159" s="37" t="s">
        <v>139</v>
      </c>
      <c r="D159" s="45">
        <v>55</v>
      </c>
      <c r="E159" s="86">
        <f t="array" ref="E159">IF(C159="","",IFERROR(INDEX(Cost!$B$2:$B$4, MATCH("*" &amp; C159 &amp; "*", Cost!$A$2:$A$4, 0)), "Lỗi dữ liệu"))</f>
        <v>0.25</v>
      </c>
      <c r="F159" s="39" cm="1">
        <f t="array" ref="F159">_xlfn.IFS( C159="Road",LOOKUP(D159,{0,50,150},Cost!$B$8:$B$10), C159="Barge",Cost!$B$11, C159="Rail",Cost!$B$12, TRUE,0 )</f>
        <v>1000000</v>
      </c>
      <c r="G159" s="88">
        <f>IF(C159="","",IFERROR(INDEX(Cost!$B$16:$B$18, MATCH("*" &amp; C159 &amp; "*", Cost!$A$2:$A$4, 0)), "Lỗi dữ liệu"))</f>
        <v>80000000</v>
      </c>
      <c r="H159" s="35">
        <v>1</v>
      </c>
      <c r="I159" s="40">
        <v>0</v>
      </c>
      <c r="J159" s="45"/>
      <c r="K159" s="3"/>
      <c r="L159" s="3"/>
      <c r="M159" s="3"/>
      <c r="N159" s="3"/>
      <c r="O159" s="3"/>
      <c r="P159" s="3"/>
      <c r="Q159" s="3"/>
      <c r="R159" s="3"/>
      <c r="S159" s="3"/>
      <c r="T159" s="3"/>
      <c r="U159" s="3"/>
      <c r="V159" s="3"/>
      <c r="W159" s="3"/>
      <c r="X159" s="3"/>
      <c r="Y159" s="3"/>
      <c r="Z159" s="3"/>
    </row>
    <row r="160" spans="1:26" ht="30" customHeight="1" x14ac:dyDescent="0.3">
      <c r="A160" s="49" t="s">
        <v>58</v>
      </c>
      <c r="B160" s="49" t="s">
        <v>66</v>
      </c>
      <c r="C160" s="37" t="s">
        <v>162</v>
      </c>
      <c r="D160" s="45">
        <v>25</v>
      </c>
      <c r="E160" s="86">
        <f t="array" ref="E160">IF(C160="","",IFERROR(INDEX(Cost!$B$2:$B$4, MATCH("*" &amp; C160 &amp; "*", Cost!$A$2:$A$4, 0)), "Lỗi dữ liệu"))</f>
        <v>1</v>
      </c>
      <c r="F160" s="39" cm="1">
        <f t="array" ref="F160">_xlfn.IFS( C160="Road",LOOKUP(D160,{0,50,150},Cost!$B$8:$B$10), C160="Barge",Cost!$B$11, C160="Rail",Cost!$B$12, TRUE,0 )</f>
        <v>800000</v>
      </c>
      <c r="G160" s="88">
        <v>0</v>
      </c>
      <c r="H160" s="35">
        <v>1</v>
      </c>
      <c r="I160" s="40">
        <v>0</v>
      </c>
      <c r="J160" s="45"/>
      <c r="K160" s="41"/>
      <c r="L160" s="41"/>
      <c r="M160" s="41"/>
      <c r="N160" s="41"/>
      <c r="O160" s="41"/>
      <c r="P160" s="41"/>
      <c r="Q160" s="41"/>
      <c r="R160" s="41"/>
      <c r="S160" s="41"/>
      <c r="T160" s="41"/>
      <c r="U160" s="41"/>
      <c r="V160" s="41"/>
      <c r="W160" s="41"/>
      <c r="X160" s="41"/>
      <c r="Y160" s="41"/>
      <c r="Z160" s="41"/>
    </row>
    <row r="161" spans="1:26" ht="30" customHeight="1" x14ac:dyDescent="0.3">
      <c r="A161" s="49" t="s">
        <v>58</v>
      </c>
      <c r="B161" s="49" t="s">
        <v>82</v>
      </c>
      <c r="C161" s="20" t="s">
        <v>162</v>
      </c>
      <c r="D161" s="45">
        <v>40</v>
      </c>
      <c r="E161" s="86">
        <f t="array" ref="E161">IF(C161="","",IFERROR(INDEX(Cost!$B$2:$B$4, MATCH("*" &amp; C161 &amp; "*", Cost!$A$2:$A$4, 0)), "Lỗi dữ liệu"))</f>
        <v>1</v>
      </c>
      <c r="F161" s="39" cm="1">
        <f t="array" ref="F161">_xlfn.IFS( C161="Road",LOOKUP(D161,{0,50,150},Cost!$B$8:$B$10), C161="Barge",Cost!$B$11, C161="Rail",Cost!$B$12, TRUE,0 )</f>
        <v>800000</v>
      </c>
      <c r="G161" s="88">
        <f>IF(C161="","",IFERROR(INDEX(Cost!$B$16:$B$18, MATCH("*" &amp; C161 &amp; "*", Cost!$A$2:$A$4, 0)), "Lỗi dữ liệu"))</f>
        <v>6000000</v>
      </c>
      <c r="H161" s="35">
        <v>1</v>
      </c>
      <c r="I161" s="40">
        <v>0</v>
      </c>
      <c r="J161" s="45"/>
      <c r="K161" s="3"/>
      <c r="L161" s="3"/>
      <c r="M161" s="3"/>
      <c r="N161" s="3"/>
      <c r="O161" s="3"/>
      <c r="P161" s="3"/>
      <c r="Q161" s="3"/>
      <c r="R161" s="3"/>
      <c r="S161" s="3"/>
      <c r="T161" s="3"/>
      <c r="U161" s="3"/>
      <c r="V161" s="3"/>
      <c r="W161" s="3"/>
      <c r="X161" s="3"/>
      <c r="Y161" s="3"/>
      <c r="Z161" s="3"/>
    </row>
    <row r="162" spans="1:26" ht="30" customHeight="1" x14ac:dyDescent="0.3">
      <c r="A162" s="49" t="s">
        <v>58</v>
      </c>
      <c r="B162" s="49" t="s">
        <v>82</v>
      </c>
      <c r="C162" s="20" t="s">
        <v>152</v>
      </c>
      <c r="D162" s="45">
        <v>50</v>
      </c>
      <c r="E162" s="86">
        <f t="array" ref="E162">IF(C162="","",IFERROR(INDEX(Cost!$B$2:$B$4, MATCH("*" &amp; C162 &amp; "*", Cost!$A$2:$A$4, 0)), "Lỗi dữ liệu"))</f>
        <v>0.4</v>
      </c>
      <c r="F162" s="39" cm="1">
        <f t="array" ref="F162">_xlfn.IFS( C162="Road",LOOKUP(D162,{0,50,150},Cost!$B$8:$B$10), C162="Barge",Cost!$B$11, C162="Rail",Cost!$B$12, TRUE,0 )</f>
        <v>500000</v>
      </c>
      <c r="G162" s="88">
        <f>IF(C162="","",IFERROR(INDEX(Cost!$B$16:$B$18, MATCH("*" &amp; C162 &amp; "*", Cost!$A$2:$A$4, 0)), "Lỗi dữ liệu"))</f>
        <v>20000000</v>
      </c>
      <c r="H162" s="35">
        <v>1</v>
      </c>
      <c r="I162" s="40">
        <v>0</v>
      </c>
      <c r="J162" s="45"/>
      <c r="K162" s="3"/>
      <c r="L162" s="3"/>
      <c r="M162" s="3"/>
      <c r="N162" s="3"/>
      <c r="O162" s="3"/>
      <c r="P162" s="3"/>
      <c r="Q162" s="3"/>
      <c r="R162" s="3"/>
      <c r="S162" s="3"/>
      <c r="T162" s="3"/>
      <c r="U162" s="3"/>
      <c r="V162" s="3"/>
      <c r="W162" s="3"/>
      <c r="X162" s="3"/>
      <c r="Y162" s="3"/>
      <c r="Z162" s="3"/>
    </row>
    <row r="163" spans="1:26" ht="30" customHeight="1" x14ac:dyDescent="0.3">
      <c r="A163" s="49" t="s">
        <v>58</v>
      </c>
      <c r="B163" s="49" t="s">
        <v>82</v>
      </c>
      <c r="C163" s="20" t="s">
        <v>139</v>
      </c>
      <c r="D163" s="45">
        <v>45</v>
      </c>
      <c r="E163" s="86">
        <f t="array" ref="E163">IF(C163="","",IFERROR(INDEX(Cost!$B$2:$B$4, MATCH("*" &amp; C163 &amp; "*", Cost!$A$2:$A$4, 0)), "Lỗi dữ liệu"))</f>
        <v>0.25</v>
      </c>
      <c r="F163" s="39" cm="1">
        <f t="array" ref="F163">_xlfn.IFS( C163="Road",LOOKUP(D163,{0,50,150},Cost!$B$8:$B$10), C163="Barge",Cost!$B$11, C163="Rail",Cost!$B$12, TRUE,0 )</f>
        <v>1000000</v>
      </c>
      <c r="G163" s="88">
        <f>IF(C163="","",IFERROR(INDEX(Cost!$B$16:$B$18, MATCH("*" &amp; C163 &amp; "*", Cost!$A$2:$A$4, 0)), "Lỗi dữ liệu"))</f>
        <v>80000000</v>
      </c>
      <c r="H163" s="35">
        <v>1</v>
      </c>
      <c r="I163" s="40">
        <v>0</v>
      </c>
      <c r="J163" s="45"/>
      <c r="K163" s="3"/>
      <c r="L163" s="3"/>
      <c r="M163" s="3"/>
      <c r="N163" s="3"/>
      <c r="O163" s="3"/>
      <c r="P163" s="3"/>
      <c r="Q163" s="3"/>
      <c r="R163" s="3"/>
      <c r="S163" s="3"/>
      <c r="T163" s="3"/>
      <c r="U163" s="3"/>
      <c r="V163" s="3"/>
      <c r="W163" s="3"/>
      <c r="X163" s="3"/>
      <c r="Y163" s="3"/>
      <c r="Z163" s="3"/>
    </row>
    <row r="164" spans="1:26" ht="30" customHeight="1" x14ac:dyDescent="0.3">
      <c r="A164" s="49" t="s">
        <v>58</v>
      </c>
      <c r="B164" s="49" t="s">
        <v>102</v>
      </c>
      <c r="C164" s="20" t="s">
        <v>162</v>
      </c>
      <c r="D164" s="45">
        <v>35</v>
      </c>
      <c r="E164" s="86">
        <f t="array" ref="E164">IF(C164="","",IFERROR(INDEX(Cost!$B$2:$B$4, MATCH("*" &amp; C164 &amp; "*", Cost!$A$2:$A$4, 0)), "Lỗi dữ liệu"))</f>
        <v>1</v>
      </c>
      <c r="F164" s="39" cm="1">
        <f t="array" ref="F164">_xlfn.IFS( C164="Road",LOOKUP(D164,{0,50,150},Cost!$B$8:$B$10), C164="Barge",Cost!$B$11, C164="Rail",Cost!$B$12, TRUE,0 )</f>
        <v>800000</v>
      </c>
      <c r="G164" s="88">
        <f>IF(C164="","",IFERROR(INDEX(Cost!$B$16:$B$18, MATCH("*" &amp; C164 &amp; "*", Cost!$A$2:$A$4, 0)), "Lỗi dữ liệu"))</f>
        <v>6000000</v>
      </c>
      <c r="H164" s="35">
        <v>1</v>
      </c>
      <c r="I164" s="40">
        <v>0</v>
      </c>
      <c r="J164" s="45"/>
      <c r="K164" s="41"/>
      <c r="L164" s="41"/>
      <c r="M164" s="41"/>
      <c r="N164" s="41"/>
      <c r="O164" s="41"/>
      <c r="P164" s="41"/>
      <c r="Q164" s="41"/>
      <c r="R164" s="41"/>
      <c r="S164" s="41"/>
      <c r="T164" s="41"/>
      <c r="U164" s="41"/>
      <c r="V164" s="41"/>
      <c r="W164" s="41"/>
      <c r="X164" s="41"/>
      <c r="Y164" s="41"/>
      <c r="Z164" s="41"/>
    </row>
    <row r="165" spans="1:26" ht="30" customHeight="1" x14ac:dyDescent="0.3">
      <c r="A165" s="49" t="s">
        <v>58</v>
      </c>
      <c r="B165" s="49" t="s">
        <v>102</v>
      </c>
      <c r="C165" s="37" t="s">
        <v>152</v>
      </c>
      <c r="D165" s="45">
        <v>45</v>
      </c>
      <c r="E165" s="86">
        <f t="array" ref="E165">IF(C165="","",IFERROR(INDEX(Cost!$B$2:$B$4, MATCH("*" &amp; C165 &amp; "*", Cost!$A$2:$A$4, 0)), "Lỗi dữ liệu"))</f>
        <v>0.4</v>
      </c>
      <c r="F165" s="39" cm="1">
        <f t="array" ref="F165">_xlfn.IFS( C165="Road",LOOKUP(D165,{0,50,150},Cost!$B$8:$B$10), C165="Barge",Cost!$B$11, C165="Rail",Cost!$B$12, TRUE,0 )</f>
        <v>500000</v>
      </c>
      <c r="G165" s="88">
        <f>IF(C165="","",IFERROR(INDEX(Cost!$B$16:$B$18, MATCH("*" &amp; C165 &amp; "*", Cost!$A$2:$A$4, 0)), "Lỗi dữ liệu"))</f>
        <v>20000000</v>
      </c>
      <c r="H165" s="35">
        <v>1</v>
      </c>
      <c r="I165" s="40">
        <v>0</v>
      </c>
      <c r="J165" s="45"/>
      <c r="K165" s="41"/>
      <c r="L165" s="41"/>
      <c r="M165" s="41"/>
      <c r="N165" s="41"/>
      <c r="O165" s="41"/>
      <c r="P165" s="41"/>
      <c r="Q165" s="41"/>
      <c r="R165" s="41"/>
      <c r="S165" s="41"/>
      <c r="T165" s="41"/>
      <c r="U165" s="41"/>
      <c r="V165" s="41"/>
      <c r="W165" s="41"/>
      <c r="X165" s="41"/>
      <c r="Y165" s="41"/>
      <c r="Z165" s="41"/>
    </row>
    <row r="166" spans="1:26" ht="30" customHeight="1" x14ac:dyDescent="0.3">
      <c r="A166" s="49" t="s">
        <v>58</v>
      </c>
      <c r="B166" s="49" t="s">
        <v>119</v>
      </c>
      <c r="C166" s="37" t="s">
        <v>162</v>
      </c>
      <c r="D166" s="45">
        <v>10</v>
      </c>
      <c r="E166" s="86">
        <f t="array" ref="E166">IF(C166="","",IFERROR(INDEX(Cost!$B$2:$B$4, MATCH("*" &amp; C166 &amp; "*", Cost!$A$2:$A$4, 0)), "Lỗi dữ liệu"))</f>
        <v>1</v>
      </c>
      <c r="F166" s="39" cm="1">
        <f t="array" ref="F166">_xlfn.IFS( C166="Road",LOOKUP(D166,{0,50,150},Cost!$B$8:$B$10), C166="Barge",Cost!$B$11, C166="Rail",Cost!$B$12, TRUE,0 )</f>
        <v>800000</v>
      </c>
      <c r="G166" s="88">
        <f>IF(C166="","",IFERROR(INDEX(Cost!$B$16:$B$18, MATCH("*" &amp; C166 &amp; "*", Cost!$A$2:$A$4, 0)), "Lỗi dữ liệu"))</f>
        <v>6000000</v>
      </c>
      <c r="H166" s="35">
        <v>1</v>
      </c>
      <c r="I166" s="40">
        <v>0</v>
      </c>
      <c r="J166" s="45"/>
      <c r="K166" s="3"/>
      <c r="L166" s="3"/>
      <c r="M166" s="3"/>
      <c r="N166" s="3"/>
      <c r="O166" s="3"/>
      <c r="P166" s="3"/>
      <c r="Q166" s="3"/>
      <c r="R166" s="3"/>
      <c r="S166" s="3"/>
      <c r="T166" s="3"/>
      <c r="U166" s="3"/>
      <c r="V166" s="3"/>
      <c r="W166" s="3"/>
      <c r="X166" s="3"/>
      <c r="Y166" s="3"/>
      <c r="Z166" s="3"/>
    </row>
    <row r="167" spans="1:26" ht="30" customHeight="1" x14ac:dyDescent="0.3">
      <c r="A167" s="49" t="s">
        <v>58</v>
      </c>
      <c r="B167" s="49" t="s">
        <v>126</v>
      </c>
      <c r="C167" s="37" t="s">
        <v>162</v>
      </c>
      <c r="D167" s="45">
        <v>8</v>
      </c>
      <c r="E167" s="86">
        <f t="array" ref="E167">IF(C167="","",IFERROR(INDEX(Cost!$B$2:$B$4, MATCH("*" &amp; C167 &amp; "*", Cost!$A$2:$A$4, 0)), "Lỗi dữ liệu"))</f>
        <v>1</v>
      </c>
      <c r="F167" s="39" cm="1">
        <f t="array" ref="F167">_xlfn.IFS( C167="Road",LOOKUP(D167,{0,50,150},Cost!$B$8:$B$10), C167="Barge",Cost!$B$11, C167="Rail",Cost!$B$12, TRUE,0 )</f>
        <v>800000</v>
      </c>
      <c r="G167" s="88">
        <v>0</v>
      </c>
      <c r="H167" s="35">
        <v>1</v>
      </c>
      <c r="I167" s="40">
        <v>0</v>
      </c>
      <c r="J167" s="45"/>
      <c r="K167" s="41"/>
      <c r="L167" s="41"/>
      <c r="M167" s="41"/>
      <c r="N167" s="41"/>
      <c r="O167" s="41"/>
      <c r="P167" s="41"/>
      <c r="Q167" s="41"/>
      <c r="R167" s="41"/>
      <c r="S167" s="41"/>
      <c r="T167" s="41"/>
      <c r="U167" s="41"/>
      <c r="V167" s="41"/>
      <c r="W167" s="41"/>
      <c r="X167" s="41"/>
      <c r="Y167" s="41"/>
      <c r="Z167" s="41"/>
    </row>
    <row r="168" spans="1:26" ht="30" customHeight="1" x14ac:dyDescent="0.3">
      <c r="A168" s="50" t="s">
        <v>63</v>
      </c>
      <c r="B168" s="50" t="s">
        <v>24</v>
      </c>
      <c r="C168" s="51" t="s">
        <v>162</v>
      </c>
      <c r="D168" s="52">
        <v>99</v>
      </c>
      <c r="E168" s="86">
        <f t="array" ref="E168">IF(C168="","",IFERROR(INDEX(Cost!$B$2:$B$4, MATCH("*" &amp; C168 &amp; "*", Cost!$A$2:$A$4, 0)), "Lỗi dữ liệu"))</f>
        <v>1</v>
      </c>
      <c r="F168" s="39" cm="1">
        <f t="array" ref="F168">_xlfn.IFS( C168="Road",LOOKUP(D168,{0,50,150},Cost!$B$8:$B$10), C168="Barge",Cost!$B$11, C168="Rail",Cost!$B$12, TRUE,0 )</f>
        <v>500000</v>
      </c>
      <c r="G168" s="88">
        <v>0</v>
      </c>
      <c r="H168" s="53">
        <v>1</v>
      </c>
      <c r="I168" s="54">
        <v>1</v>
      </c>
      <c r="J168" s="52"/>
      <c r="K168" s="41"/>
      <c r="L168" s="41"/>
      <c r="M168" s="41"/>
      <c r="N168" s="41"/>
      <c r="O168" s="41"/>
      <c r="P168" s="41"/>
      <c r="Q168" s="41"/>
      <c r="R168" s="41"/>
      <c r="S168" s="41"/>
      <c r="T168" s="41"/>
      <c r="U168" s="41"/>
      <c r="V168" s="41"/>
      <c r="W168" s="41"/>
      <c r="X168" s="41"/>
      <c r="Y168" s="41"/>
      <c r="Z168" s="41"/>
    </row>
    <row r="169" spans="1:26" ht="30" customHeight="1" x14ac:dyDescent="0.3">
      <c r="A169" s="50" t="s">
        <v>63</v>
      </c>
      <c r="B169" s="50" t="s">
        <v>24</v>
      </c>
      <c r="C169" s="20" t="s">
        <v>152</v>
      </c>
      <c r="D169" s="45">
        <v>90</v>
      </c>
      <c r="E169" s="86">
        <f t="array" ref="E169">IF(C169="","",IFERROR(INDEX(Cost!$B$2:$B$4, MATCH("*" &amp; C169 &amp; "*", Cost!$A$2:$A$4, 0)), "Lỗi dữ liệu"))</f>
        <v>0.4</v>
      </c>
      <c r="F169" s="39" cm="1">
        <f t="array" ref="F169">_xlfn.IFS( C169="Road",LOOKUP(D169,{0,50,150},Cost!$B$8:$B$10), C169="Barge",Cost!$B$11, C169="Rail",Cost!$B$12, TRUE,0 )</f>
        <v>500000</v>
      </c>
      <c r="G169" s="88">
        <f>IF(C169="","",IFERROR(INDEX(Cost!$B$16:$B$18, MATCH("*" &amp; C169 &amp; "*", Cost!$A$2:$A$4, 0)), "Lỗi dữ liệu"))</f>
        <v>20000000</v>
      </c>
      <c r="H169" s="35">
        <v>1</v>
      </c>
      <c r="I169" s="40">
        <v>1</v>
      </c>
      <c r="J169" s="45"/>
      <c r="K169" s="3"/>
      <c r="L169" s="3"/>
      <c r="M169" s="3"/>
      <c r="N169" s="3"/>
      <c r="O169" s="3"/>
      <c r="P169" s="3"/>
      <c r="Q169" s="3"/>
      <c r="R169" s="3"/>
      <c r="S169" s="3"/>
      <c r="T169" s="3"/>
      <c r="U169" s="3"/>
      <c r="V169" s="3"/>
      <c r="W169" s="3"/>
      <c r="X169" s="3"/>
      <c r="Y169" s="3"/>
      <c r="Z169" s="3"/>
    </row>
    <row r="170" spans="1:26" ht="30" customHeight="1" x14ac:dyDescent="0.3">
      <c r="A170" s="50" t="s">
        <v>63</v>
      </c>
      <c r="B170" s="50" t="s">
        <v>24</v>
      </c>
      <c r="C170" s="20" t="s">
        <v>139</v>
      </c>
      <c r="D170" s="45">
        <v>110</v>
      </c>
      <c r="E170" s="86">
        <f t="array" ref="E170">IF(C170="","",IFERROR(INDEX(Cost!$B$2:$B$4, MATCH("*" &amp; C170 &amp; "*", Cost!$A$2:$A$4, 0)), "Lỗi dữ liệu"))</f>
        <v>0.25</v>
      </c>
      <c r="F170" s="39" cm="1">
        <f t="array" ref="F170">_xlfn.IFS( C170="Road",LOOKUP(D170,{0,50,150},Cost!$B$8:$B$10), C170="Barge",Cost!$B$11, C170="Rail",Cost!$B$12, TRUE,0 )</f>
        <v>1000000</v>
      </c>
      <c r="G170" s="88">
        <f>IF(C170="","",IFERROR(INDEX(Cost!$B$16:$B$18, MATCH("*" &amp; C170 &amp; "*", Cost!$A$2:$A$4, 0)), "Lỗi dữ liệu"))</f>
        <v>80000000</v>
      </c>
      <c r="H170" s="35">
        <v>1</v>
      </c>
      <c r="I170" s="40">
        <v>1</v>
      </c>
      <c r="J170" s="45"/>
      <c r="K170" s="3"/>
      <c r="L170" s="3"/>
      <c r="M170" s="3"/>
      <c r="N170" s="3"/>
      <c r="O170" s="3"/>
      <c r="P170" s="3"/>
      <c r="Q170" s="3"/>
      <c r="R170" s="3"/>
      <c r="S170" s="3"/>
      <c r="T170" s="3"/>
      <c r="U170" s="3"/>
      <c r="V170" s="3"/>
      <c r="W170" s="3"/>
      <c r="X170" s="3"/>
      <c r="Y170" s="3"/>
      <c r="Z170" s="3"/>
    </row>
    <row r="171" spans="1:26" ht="30" customHeight="1" x14ac:dyDescent="0.3">
      <c r="A171" s="50" t="s">
        <v>63</v>
      </c>
      <c r="B171" s="50" t="s">
        <v>11</v>
      </c>
      <c r="C171" s="20" t="s">
        <v>162</v>
      </c>
      <c r="D171" s="45">
        <v>85</v>
      </c>
      <c r="E171" s="86">
        <f t="array" ref="E171">IF(C171="","",IFERROR(INDEX(Cost!$B$2:$B$4, MATCH("*" &amp; C171 &amp; "*", Cost!$A$2:$A$4, 0)), "Lỗi dữ liệu"))</f>
        <v>1</v>
      </c>
      <c r="F171" s="39" cm="1">
        <f t="array" ref="F171">_xlfn.IFS( C171="Road",LOOKUP(D171,{0,50,150},Cost!$B$8:$B$10), C171="Barge",Cost!$B$11, C171="Rail",Cost!$B$12, TRUE,0 )</f>
        <v>500000</v>
      </c>
      <c r="G171" s="88">
        <v>0</v>
      </c>
      <c r="H171" s="35">
        <v>1</v>
      </c>
      <c r="I171" s="40">
        <v>0</v>
      </c>
      <c r="J171" s="45"/>
      <c r="K171" s="3"/>
      <c r="L171" s="3"/>
      <c r="M171" s="3"/>
      <c r="N171" s="3"/>
      <c r="O171" s="3"/>
      <c r="P171" s="3"/>
      <c r="Q171" s="3"/>
      <c r="R171" s="3"/>
      <c r="S171" s="3"/>
      <c r="T171" s="3"/>
      <c r="U171" s="3"/>
      <c r="V171" s="3"/>
      <c r="W171" s="3"/>
      <c r="X171" s="3"/>
      <c r="Y171" s="3"/>
      <c r="Z171" s="3"/>
    </row>
    <row r="172" spans="1:26" ht="30" customHeight="1" x14ac:dyDescent="0.3">
      <c r="A172" s="50" t="s">
        <v>63</v>
      </c>
      <c r="B172" s="50" t="s">
        <v>11</v>
      </c>
      <c r="C172" s="20" t="s">
        <v>152</v>
      </c>
      <c r="D172" s="45">
        <v>75</v>
      </c>
      <c r="E172" s="86">
        <f t="array" ref="E172">IF(C172="","",IFERROR(INDEX(Cost!$B$2:$B$4, MATCH("*" &amp; C172 &amp; "*", Cost!$A$2:$A$4, 0)), "Lỗi dữ liệu"))</f>
        <v>0.4</v>
      </c>
      <c r="F172" s="39" cm="1">
        <f t="array" ref="F172">_xlfn.IFS( C172="Road",LOOKUP(D172,{0,50,150},Cost!$B$8:$B$10), C172="Barge",Cost!$B$11, C172="Rail",Cost!$B$12, TRUE,0 )</f>
        <v>500000</v>
      </c>
      <c r="G172" s="88">
        <f>IF(C172="","",IFERROR(INDEX(Cost!$B$16:$B$18, MATCH("*" &amp; C172 &amp; "*", Cost!$A$2:$A$4, 0)), "Lỗi dữ liệu"))</f>
        <v>20000000</v>
      </c>
      <c r="H172" s="35">
        <v>1</v>
      </c>
      <c r="I172" s="40">
        <v>0</v>
      </c>
      <c r="J172" s="45"/>
      <c r="K172" s="3"/>
      <c r="L172" s="3"/>
      <c r="M172" s="3"/>
      <c r="N172" s="3"/>
      <c r="O172" s="3"/>
      <c r="P172" s="3"/>
      <c r="Q172" s="3"/>
      <c r="R172" s="3"/>
      <c r="S172" s="3"/>
      <c r="T172" s="3"/>
      <c r="U172" s="3"/>
      <c r="V172" s="3"/>
      <c r="W172" s="3"/>
      <c r="X172" s="3"/>
      <c r="Y172" s="3"/>
      <c r="Z172" s="3"/>
    </row>
    <row r="173" spans="1:26" ht="30" customHeight="1" x14ac:dyDescent="0.3">
      <c r="A173" s="50" t="s">
        <v>63</v>
      </c>
      <c r="B173" s="50" t="s">
        <v>11</v>
      </c>
      <c r="C173" s="20" t="s">
        <v>139</v>
      </c>
      <c r="D173" s="45">
        <v>90</v>
      </c>
      <c r="E173" s="86">
        <f t="array" ref="E173">IF(C173="","",IFERROR(INDEX(Cost!$B$2:$B$4, MATCH("*" &amp; C173 &amp; "*", Cost!$A$2:$A$4, 0)), "Lỗi dữ liệu"))</f>
        <v>0.25</v>
      </c>
      <c r="F173" s="39" cm="1">
        <f t="array" ref="F173">_xlfn.IFS( C173="Road",LOOKUP(D173,{0,50,150},Cost!$B$8:$B$10), C173="Barge",Cost!$B$11, C173="Rail",Cost!$B$12, TRUE,0 )</f>
        <v>1000000</v>
      </c>
      <c r="G173" s="88">
        <f>IF(C173="","",IFERROR(INDEX(Cost!$B$16:$B$18, MATCH("*" &amp; C173 &amp; "*", Cost!$A$2:$A$4, 0)), "Lỗi dữ liệu"))</f>
        <v>80000000</v>
      </c>
      <c r="H173" s="35">
        <v>1</v>
      </c>
      <c r="I173" s="40">
        <v>0</v>
      </c>
      <c r="J173" s="45"/>
      <c r="K173" s="3"/>
      <c r="L173" s="3"/>
      <c r="M173" s="3"/>
      <c r="N173" s="3"/>
      <c r="O173" s="3"/>
      <c r="P173" s="3"/>
      <c r="Q173" s="3"/>
      <c r="R173" s="3"/>
      <c r="S173" s="3"/>
      <c r="T173" s="3"/>
      <c r="U173" s="3"/>
      <c r="V173" s="3"/>
      <c r="W173" s="3"/>
      <c r="X173" s="3"/>
      <c r="Y173" s="3"/>
      <c r="Z173" s="3"/>
    </row>
    <row r="174" spans="1:26" ht="30" customHeight="1" x14ac:dyDescent="0.3">
      <c r="A174" s="50" t="s">
        <v>63</v>
      </c>
      <c r="B174" s="50" t="s">
        <v>17</v>
      </c>
      <c r="C174" s="20" t="s">
        <v>162</v>
      </c>
      <c r="D174" s="45">
        <v>90</v>
      </c>
      <c r="E174" s="86">
        <f t="array" ref="E174">IF(C174="","",IFERROR(INDEX(Cost!$B$2:$B$4, MATCH("*" &amp; C174 &amp; "*", Cost!$A$2:$A$4, 0)), "Lỗi dữ liệu"))</f>
        <v>1</v>
      </c>
      <c r="F174" s="39" cm="1">
        <f t="array" ref="F174">_xlfn.IFS( C174="Road",LOOKUP(D174,{0,50,150},Cost!$B$8:$B$10), C174="Barge",Cost!$B$11, C174="Rail",Cost!$B$12, TRUE,0 )</f>
        <v>500000</v>
      </c>
      <c r="G174" s="88">
        <f>IF(C174="","",IFERROR(INDEX(Cost!$B$16:$B$18, MATCH("*" &amp; C174 &amp; "*", Cost!$A$2:$A$4, 0)), "Lỗi dữ liệu"))</f>
        <v>6000000</v>
      </c>
      <c r="H174" s="35">
        <v>1</v>
      </c>
      <c r="I174" s="40">
        <v>0</v>
      </c>
      <c r="J174" s="45"/>
      <c r="K174" s="47"/>
      <c r="L174" s="47"/>
      <c r="M174" s="47"/>
      <c r="N174" s="47"/>
      <c r="O174" s="47"/>
      <c r="P174" s="47"/>
      <c r="Q174" s="47"/>
      <c r="R174" s="47"/>
      <c r="S174" s="47"/>
      <c r="T174" s="47"/>
      <c r="U174" s="47"/>
      <c r="V174" s="47"/>
      <c r="W174" s="47"/>
      <c r="X174" s="47"/>
      <c r="Y174" s="47"/>
      <c r="Z174" s="47"/>
    </row>
    <row r="175" spans="1:26" ht="30" customHeight="1" x14ac:dyDescent="0.3">
      <c r="A175" s="50" t="s">
        <v>63</v>
      </c>
      <c r="B175" s="50" t="s">
        <v>17</v>
      </c>
      <c r="C175" s="20" t="s">
        <v>152</v>
      </c>
      <c r="D175" s="45">
        <v>78</v>
      </c>
      <c r="E175" s="86">
        <f t="array" ref="E175">IF(C175="","",IFERROR(INDEX(Cost!$B$2:$B$4, MATCH("*" &amp; C175 &amp; "*", Cost!$A$2:$A$4, 0)), "Lỗi dữ liệu"))</f>
        <v>0.4</v>
      </c>
      <c r="F175" s="39" cm="1">
        <f t="array" ref="F175">_xlfn.IFS( C175="Road",LOOKUP(D175,{0,50,150},Cost!$B$8:$B$10), C175="Barge",Cost!$B$11, C175="Rail",Cost!$B$12, TRUE,0 )</f>
        <v>500000</v>
      </c>
      <c r="G175" s="88">
        <f>IF(C175="","",IFERROR(INDEX(Cost!$B$16:$B$18, MATCH("*" &amp; C175 &amp; "*", Cost!$A$2:$A$4, 0)), "Lỗi dữ liệu"))</f>
        <v>20000000</v>
      </c>
      <c r="H175" s="35">
        <v>1</v>
      </c>
      <c r="I175" s="40">
        <v>0</v>
      </c>
      <c r="J175" s="45"/>
      <c r="K175" s="47"/>
      <c r="L175" s="47"/>
      <c r="M175" s="47"/>
      <c r="N175" s="47"/>
      <c r="O175" s="47"/>
      <c r="P175" s="47"/>
      <c r="Q175" s="47"/>
      <c r="R175" s="47"/>
      <c r="S175" s="47"/>
      <c r="T175" s="47"/>
      <c r="U175" s="47"/>
      <c r="V175" s="47"/>
      <c r="W175" s="47"/>
      <c r="X175" s="47"/>
      <c r="Y175" s="47"/>
      <c r="Z175" s="47"/>
    </row>
    <row r="176" spans="1:26" ht="30" customHeight="1" x14ac:dyDescent="0.3">
      <c r="A176" s="50" t="s">
        <v>63</v>
      </c>
      <c r="B176" s="50" t="s">
        <v>17</v>
      </c>
      <c r="C176" s="20" t="s">
        <v>139</v>
      </c>
      <c r="D176" s="45">
        <v>90</v>
      </c>
      <c r="E176" s="86">
        <f t="array" ref="E176">IF(C176="","",IFERROR(INDEX(Cost!$B$2:$B$4, MATCH("*" &amp; C176 &amp; "*", Cost!$A$2:$A$4, 0)), "Lỗi dữ liệu"))</f>
        <v>0.25</v>
      </c>
      <c r="F176" s="39" cm="1">
        <f t="array" ref="F176">_xlfn.IFS( C176="Road",LOOKUP(D176,{0,50,150},Cost!$B$8:$B$10), C176="Barge",Cost!$B$11, C176="Rail",Cost!$B$12, TRUE,0 )</f>
        <v>1000000</v>
      </c>
      <c r="G176" s="88">
        <f>IF(C176="","",IFERROR(INDEX(Cost!$B$16:$B$18, MATCH("*" &amp; C176 &amp; "*", Cost!$A$2:$A$4, 0)), "Lỗi dữ liệu"))</f>
        <v>80000000</v>
      </c>
      <c r="H176" s="35">
        <v>1</v>
      </c>
      <c r="I176" s="40">
        <v>0</v>
      </c>
      <c r="J176" s="45"/>
      <c r="K176" s="47"/>
      <c r="L176" s="47"/>
      <c r="M176" s="47"/>
      <c r="N176" s="47"/>
      <c r="O176" s="47"/>
      <c r="P176" s="47"/>
      <c r="Q176" s="47"/>
      <c r="R176" s="47"/>
      <c r="S176" s="47"/>
      <c r="T176" s="47"/>
      <c r="U176" s="47"/>
      <c r="V176" s="47"/>
      <c r="W176" s="47"/>
      <c r="X176" s="47"/>
      <c r="Y176" s="47"/>
      <c r="Z176" s="47"/>
    </row>
    <row r="177" spans="1:26" ht="30" customHeight="1" x14ac:dyDescent="0.3">
      <c r="A177" s="50" t="s">
        <v>63</v>
      </c>
      <c r="B177" s="50" t="s">
        <v>29</v>
      </c>
      <c r="C177" s="37" t="s">
        <v>162</v>
      </c>
      <c r="D177" s="45">
        <v>84</v>
      </c>
      <c r="E177" s="86">
        <f t="array" ref="E177">IF(C177="","",IFERROR(INDEX(Cost!$B$2:$B$4, MATCH("*" &amp; C177 &amp; "*", Cost!$A$2:$A$4, 0)), "Lỗi dữ liệu"))</f>
        <v>1</v>
      </c>
      <c r="F177" s="39" cm="1">
        <f t="array" ref="F177">_xlfn.IFS( C177="Road",LOOKUP(D177,{0,50,150},Cost!$B$8:$B$10), C177="Barge",Cost!$B$11, C177="Rail",Cost!$B$12, TRUE,0 )</f>
        <v>500000</v>
      </c>
      <c r="G177" s="88">
        <f>IF(C177="","",IFERROR(INDEX(Cost!$B$16:$B$18, MATCH("*" &amp; C177 &amp; "*", Cost!$A$2:$A$4, 0)), "Lỗi dữ liệu"))</f>
        <v>6000000</v>
      </c>
      <c r="H177" s="35">
        <v>1</v>
      </c>
      <c r="I177" s="40">
        <v>0</v>
      </c>
      <c r="J177" s="45"/>
      <c r="K177" s="3"/>
      <c r="L177" s="3"/>
      <c r="M177" s="3"/>
      <c r="N177" s="3"/>
      <c r="O177" s="3"/>
      <c r="P177" s="3"/>
      <c r="Q177" s="3"/>
      <c r="R177" s="3"/>
      <c r="S177" s="3"/>
      <c r="T177" s="3"/>
      <c r="U177" s="3"/>
      <c r="V177" s="3"/>
      <c r="W177" s="3"/>
      <c r="X177" s="3"/>
      <c r="Y177" s="3"/>
      <c r="Z177" s="3"/>
    </row>
    <row r="178" spans="1:26" ht="30" customHeight="1" x14ac:dyDescent="0.3">
      <c r="A178" s="50" t="s">
        <v>63</v>
      </c>
      <c r="B178" s="50" t="s">
        <v>29</v>
      </c>
      <c r="C178" s="37" t="s">
        <v>152</v>
      </c>
      <c r="D178" s="45">
        <v>70</v>
      </c>
      <c r="E178" s="86">
        <f t="array" ref="E178">IF(C178="","",IFERROR(INDEX(Cost!$B$2:$B$4, MATCH("*" &amp; C178 &amp; "*", Cost!$A$2:$A$4, 0)), "Lỗi dữ liệu"))</f>
        <v>0.4</v>
      </c>
      <c r="F178" s="39" cm="1">
        <f t="array" ref="F178">_xlfn.IFS( C178="Road",LOOKUP(D178,{0,50,150},Cost!$B$8:$B$10), C178="Barge",Cost!$B$11, C178="Rail",Cost!$B$12, TRUE,0 )</f>
        <v>500000</v>
      </c>
      <c r="G178" s="88">
        <f>IF(C178="","",IFERROR(INDEX(Cost!$B$16:$B$18, MATCH("*" &amp; C178 &amp; "*", Cost!$A$2:$A$4, 0)), "Lỗi dữ liệu"))</f>
        <v>20000000</v>
      </c>
      <c r="H178" s="35">
        <v>1</v>
      </c>
      <c r="I178" s="40">
        <v>0</v>
      </c>
      <c r="J178" s="45"/>
      <c r="K178" s="3"/>
      <c r="L178" s="3"/>
      <c r="M178" s="3"/>
      <c r="N178" s="3"/>
      <c r="O178" s="3"/>
      <c r="P178" s="3"/>
      <c r="Q178" s="3"/>
      <c r="R178" s="3"/>
      <c r="S178" s="3"/>
      <c r="T178" s="3"/>
      <c r="U178" s="3"/>
      <c r="V178" s="3"/>
      <c r="W178" s="3"/>
      <c r="X178" s="3"/>
      <c r="Y178" s="3"/>
      <c r="Z178" s="3"/>
    </row>
    <row r="179" spans="1:26" ht="30" customHeight="1" x14ac:dyDescent="0.3">
      <c r="A179" s="50" t="s">
        <v>63</v>
      </c>
      <c r="B179" s="50" t="s">
        <v>29</v>
      </c>
      <c r="C179" s="20" t="s">
        <v>139</v>
      </c>
      <c r="D179" s="45">
        <v>82</v>
      </c>
      <c r="E179" s="86">
        <f t="array" ref="E179">IF(C179="","",IFERROR(INDEX(Cost!$B$2:$B$4, MATCH("*" &amp; C179 &amp; "*", Cost!$A$2:$A$4, 0)), "Lỗi dữ liệu"))</f>
        <v>0.25</v>
      </c>
      <c r="F179" s="39" cm="1">
        <f t="array" ref="F179">_xlfn.IFS( C179="Road",LOOKUP(D179,{0,50,150},Cost!$B$8:$B$10), C179="Barge",Cost!$B$11, C179="Rail",Cost!$B$12, TRUE,0 )</f>
        <v>1000000</v>
      </c>
      <c r="G179" s="88">
        <v>0</v>
      </c>
      <c r="H179" s="35">
        <v>1</v>
      </c>
      <c r="I179" s="40">
        <v>0</v>
      </c>
      <c r="J179" s="45"/>
      <c r="K179" s="3"/>
      <c r="L179" s="3"/>
      <c r="M179" s="3"/>
      <c r="N179" s="3"/>
      <c r="O179" s="3"/>
      <c r="P179" s="3"/>
      <c r="Q179" s="3"/>
      <c r="R179" s="3"/>
      <c r="S179" s="3"/>
      <c r="T179" s="3"/>
      <c r="U179" s="3"/>
      <c r="V179" s="3"/>
      <c r="W179" s="3"/>
      <c r="X179" s="3"/>
      <c r="Y179" s="3"/>
      <c r="Z179" s="3"/>
    </row>
    <row r="180" spans="1:26" ht="30" customHeight="1" x14ac:dyDescent="0.3">
      <c r="A180" s="50" t="s">
        <v>63</v>
      </c>
      <c r="B180" s="50" t="s">
        <v>49</v>
      </c>
      <c r="C180" s="20" t="s">
        <v>162</v>
      </c>
      <c r="D180" s="45">
        <v>15</v>
      </c>
      <c r="E180" s="86">
        <f t="array" ref="E180">IF(C180="","",IFERROR(INDEX(Cost!$B$2:$B$4, MATCH("*" &amp; C180 &amp; "*", Cost!$A$2:$A$4, 0)), "Lỗi dữ liệu"))</f>
        <v>1</v>
      </c>
      <c r="F180" s="39" cm="1">
        <f t="array" ref="F180">_xlfn.IFS( C180="Road",LOOKUP(D180,{0,50,150},Cost!$B$8:$B$10), C180="Barge",Cost!$B$11, C180="Rail",Cost!$B$12, TRUE,0 )</f>
        <v>800000</v>
      </c>
      <c r="G180" s="88">
        <f>IF(C180="","",IFERROR(INDEX(Cost!$B$16:$B$18, MATCH("*" &amp; C180 &amp; "*", Cost!$A$2:$A$4, 0)), "Lỗi dữ liệu"))</f>
        <v>6000000</v>
      </c>
      <c r="H180" s="35">
        <v>1</v>
      </c>
      <c r="I180" s="40">
        <v>0</v>
      </c>
      <c r="J180" s="45"/>
      <c r="K180" s="47"/>
      <c r="L180" s="47"/>
      <c r="M180" s="47"/>
      <c r="N180" s="47"/>
      <c r="O180" s="47"/>
      <c r="P180" s="47"/>
      <c r="Q180" s="47"/>
      <c r="R180" s="47"/>
      <c r="S180" s="47"/>
      <c r="T180" s="47"/>
      <c r="U180" s="47"/>
      <c r="V180" s="47"/>
      <c r="W180" s="47"/>
      <c r="X180" s="47"/>
      <c r="Y180" s="47"/>
      <c r="Z180" s="47"/>
    </row>
    <row r="181" spans="1:26" ht="30" customHeight="1" x14ac:dyDescent="0.3">
      <c r="A181" s="50" t="s">
        <v>63</v>
      </c>
      <c r="B181" s="50" t="s">
        <v>49</v>
      </c>
      <c r="C181" s="37" t="s">
        <v>152</v>
      </c>
      <c r="D181" s="45">
        <v>13</v>
      </c>
      <c r="E181" s="86">
        <f t="array" ref="E181">IF(C181="","",IFERROR(INDEX(Cost!$B$2:$B$4, MATCH("*" &amp; C181 &amp; "*", Cost!$A$2:$A$4, 0)), "Lỗi dữ liệu"))</f>
        <v>0.4</v>
      </c>
      <c r="F181" s="39" cm="1">
        <f t="array" ref="F181">_xlfn.IFS( C181="Road",LOOKUP(D181,{0,50,150},Cost!$B$8:$B$10), C181="Barge",Cost!$B$11, C181="Rail",Cost!$B$12, TRUE,0 )</f>
        <v>500000</v>
      </c>
      <c r="G181" s="88">
        <f>IF(C181="","",IFERROR(INDEX(Cost!$B$16:$B$18, MATCH("*" &amp; C181 &amp; "*", Cost!$A$2:$A$4, 0)), "Lỗi dữ liệu"))</f>
        <v>20000000</v>
      </c>
      <c r="H181" s="35">
        <v>1</v>
      </c>
      <c r="I181" s="40">
        <v>0</v>
      </c>
      <c r="J181" s="45"/>
      <c r="K181" s="47"/>
      <c r="L181" s="47"/>
      <c r="M181" s="47"/>
      <c r="N181" s="47"/>
      <c r="O181" s="47"/>
      <c r="P181" s="47"/>
      <c r="Q181" s="47"/>
      <c r="R181" s="47"/>
      <c r="S181" s="47"/>
      <c r="T181" s="47"/>
      <c r="U181" s="47"/>
      <c r="V181" s="47"/>
      <c r="W181" s="47"/>
      <c r="X181" s="47"/>
      <c r="Y181" s="47"/>
      <c r="Z181" s="47"/>
    </row>
    <row r="182" spans="1:26" ht="30" customHeight="1" x14ac:dyDescent="0.3">
      <c r="A182" s="50" t="s">
        <v>63</v>
      </c>
      <c r="B182" s="50" t="s">
        <v>49</v>
      </c>
      <c r="C182" s="20" t="s">
        <v>139</v>
      </c>
      <c r="D182" s="45">
        <v>18</v>
      </c>
      <c r="E182" s="86">
        <f t="array" ref="E182">IF(C182="","",IFERROR(INDEX(Cost!$B$2:$B$4, MATCH("*" &amp; C182 &amp; "*", Cost!$A$2:$A$4, 0)), "Lỗi dữ liệu"))</f>
        <v>0.25</v>
      </c>
      <c r="F182" s="39" cm="1">
        <f t="array" ref="F182">_xlfn.IFS( C182="Road",LOOKUP(D182,{0,50,150},Cost!$B$8:$B$10), C182="Barge",Cost!$B$11, C182="Rail",Cost!$B$12, TRUE,0 )</f>
        <v>1000000</v>
      </c>
      <c r="G182" s="88">
        <f>IF(C182="","",IFERROR(INDEX(Cost!$B$16:$B$18, MATCH("*" &amp; C182 &amp; "*", Cost!$A$2:$A$4, 0)), "Lỗi dữ liệu"))</f>
        <v>80000000</v>
      </c>
      <c r="H182" s="35">
        <v>1</v>
      </c>
      <c r="I182" s="40">
        <v>0</v>
      </c>
      <c r="J182" s="45"/>
      <c r="K182" s="47"/>
      <c r="L182" s="47"/>
      <c r="M182" s="47"/>
      <c r="N182" s="47"/>
      <c r="O182" s="47"/>
      <c r="P182" s="47"/>
      <c r="Q182" s="47"/>
      <c r="R182" s="47"/>
      <c r="S182" s="47"/>
      <c r="T182" s="47"/>
      <c r="U182" s="47"/>
      <c r="V182" s="47"/>
      <c r="W182" s="47"/>
      <c r="X182" s="47"/>
      <c r="Y182" s="47"/>
      <c r="Z182" s="47"/>
    </row>
    <row r="183" spans="1:26" ht="30" customHeight="1" x14ac:dyDescent="0.3">
      <c r="A183" s="50" t="s">
        <v>63</v>
      </c>
      <c r="B183" s="50" t="s">
        <v>58</v>
      </c>
      <c r="C183" s="20" t="s">
        <v>162</v>
      </c>
      <c r="D183" s="45">
        <v>45</v>
      </c>
      <c r="E183" s="86">
        <f t="array" ref="E183">IF(C183="","",IFERROR(INDEX(Cost!$B$2:$B$4, MATCH("*" &amp; C183 &amp; "*", Cost!$A$2:$A$4, 0)), "Lỗi dữ liệu"))</f>
        <v>1</v>
      </c>
      <c r="F183" s="39" cm="1">
        <f t="array" ref="F183">_xlfn.IFS( C183="Road",LOOKUP(D183,{0,50,150},Cost!$B$8:$B$10), C183="Barge",Cost!$B$11, C183="Rail",Cost!$B$12, TRUE,0 )</f>
        <v>800000</v>
      </c>
      <c r="G183" s="88">
        <f>IF(C183="","",IFERROR(INDEX(Cost!$B$16:$B$18, MATCH("*" &amp; C183 &amp; "*", Cost!$A$2:$A$4, 0)), "Lỗi dữ liệu"))</f>
        <v>6000000</v>
      </c>
      <c r="H183" s="35">
        <v>1</v>
      </c>
      <c r="I183" s="40">
        <v>0</v>
      </c>
      <c r="J183" s="45"/>
      <c r="K183" s="3"/>
      <c r="L183" s="3"/>
      <c r="M183" s="3"/>
      <c r="N183" s="3"/>
      <c r="O183" s="3"/>
      <c r="P183" s="3"/>
      <c r="Q183" s="3"/>
      <c r="R183" s="3"/>
      <c r="S183" s="3"/>
      <c r="T183" s="3"/>
      <c r="U183" s="3"/>
      <c r="V183" s="3"/>
      <c r="W183" s="3"/>
      <c r="X183" s="3"/>
      <c r="Y183" s="3"/>
      <c r="Z183" s="3"/>
    </row>
    <row r="184" spans="1:26" ht="30" customHeight="1" x14ac:dyDescent="0.3">
      <c r="A184" s="50" t="s">
        <v>63</v>
      </c>
      <c r="B184" s="50" t="s">
        <v>58</v>
      </c>
      <c r="C184" s="20" t="s">
        <v>152</v>
      </c>
      <c r="D184" s="45">
        <v>40</v>
      </c>
      <c r="E184" s="86">
        <f t="array" ref="E184">IF(C184="","",IFERROR(INDEX(Cost!$B$2:$B$4, MATCH("*" &amp; C184 &amp; "*", Cost!$A$2:$A$4, 0)), "Lỗi dữ liệu"))</f>
        <v>0.4</v>
      </c>
      <c r="F184" s="39" cm="1">
        <f t="array" ref="F184">_xlfn.IFS( C184="Road",LOOKUP(D184,{0,50,150},Cost!$B$8:$B$10), C184="Barge",Cost!$B$11, C184="Rail",Cost!$B$12, TRUE,0 )</f>
        <v>500000</v>
      </c>
      <c r="G184" s="88">
        <f>IF(C184="","",IFERROR(INDEX(Cost!$B$16:$B$18, MATCH("*" &amp; C184 &amp; "*", Cost!$A$2:$A$4, 0)), "Lỗi dữ liệu"))</f>
        <v>20000000</v>
      </c>
      <c r="H184" s="35">
        <v>1</v>
      </c>
      <c r="I184" s="40">
        <v>0</v>
      </c>
      <c r="J184" s="45"/>
      <c r="K184" s="3"/>
      <c r="L184" s="3"/>
      <c r="M184" s="3"/>
      <c r="N184" s="3"/>
      <c r="O184" s="3"/>
      <c r="P184" s="3"/>
      <c r="Q184" s="3"/>
      <c r="R184" s="3"/>
      <c r="S184" s="3"/>
      <c r="T184" s="3"/>
      <c r="U184" s="3"/>
      <c r="V184" s="3"/>
      <c r="W184" s="3"/>
      <c r="X184" s="3"/>
      <c r="Y184" s="3"/>
      <c r="Z184" s="3"/>
    </row>
    <row r="185" spans="1:26" ht="30" customHeight="1" x14ac:dyDescent="0.3">
      <c r="A185" s="50" t="s">
        <v>63</v>
      </c>
      <c r="B185" s="50" t="s">
        <v>58</v>
      </c>
      <c r="C185" s="20" t="s">
        <v>139</v>
      </c>
      <c r="D185" s="45">
        <v>44</v>
      </c>
      <c r="E185" s="86">
        <f t="array" ref="E185">IF(C185="","",IFERROR(INDEX(Cost!$B$2:$B$4, MATCH("*" &amp; C185 &amp; "*", Cost!$A$2:$A$4, 0)), "Lỗi dữ liệu"))</f>
        <v>0.25</v>
      </c>
      <c r="F185" s="39" cm="1">
        <f t="array" ref="F185">_xlfn.IFS( C185="Road",LOOKUP(D185,{0,50,150},Cost!$B$8:$B$10), C185="Barge",Cost!$B$11, C185="Rail",Cost!$B$12, TRUE,0 )</f>
        <v>1000000</v>
      </c>
      <c r="G185" s="88">
        <f>IF(C185="","",IFERROR(INDEX(Cost!$B$16:$B$18, MATCH("*" &amp; C185 &amp; "*", Cost!$A$2:$A$4, 0)), "Lỗi dữ liệu"))</f>
        <v>80000000</v>
      </c>
      <c r="H185" s="35">
        <v>1</v>
      </c>
      <c r="I185" s="40">
        <v>0</v>
      </c>
      <c r="J185" s="45"/>
      <c r="K185" s="3"/>
      <c r="L185" s="3"/>
      <c r="M185" s="3"/>
      <c r="N185" s="3"/>
      <c r="O185" s="3"/>
      <c r="P185" s="3"/>
      <c r="Q185" s="3"/>
      <c r="R185" s="3"/>
      <c r="S185" s="3"/>
      <c r="T185" s="3"/>
      <c r="U185" s="3"/>
      <c r="V185" s="3"/>
      <c r="W185" s="3"/>
      <c r="X185" s="3"/>
      <c r="Y185" s="3"/>
      <c r="Z185" s="3"/>
    </row>
    <row r="186" spans="1:26" ht="30" customHeight="1" x14ac:dyDescent="0.3">
      <c r="A186" s="50" t="s">
        <v>63</v>
      </c>
      <c r="B186" s="50" t="s">
        <v>66</v>
      </c>
      <c r="C186" s="20" t="s">
        <v>162</v>
      </c>
      <c r="D186" s="45">
        <v>55</v>
      </c>
      <c r="E186" s="86">
        <f t="array" ref="E186">IF(C186="","",IFERROR(INDEX(Cost!$B$2:$B$4, MATCH("*" &amp; C186 &amp; "*", Cost!$A$2:$A$4, 0)), "Lỗi dữ liệu"))</f>
        <v>1</v>
      </c>
      <c r="F186" s="39" cm="1">
        <f t="array" ref="F186">_xlfn.IFS( C186="Road",LOOKUP(D186,{0,50,150},Cost!$B$8:$B$10), C186="Barge",Cost!$B$11, C186="Rail",Cost!$B$12, TRUE,0 )</f>
        <v>500000</v>
      </c>
      <c r="G186" s="88">
        <f>IF(C186="","",IFERROR(INDEX(Cost!$B$16:$B$18, MATCH("*" &amp; C186 &amp; "*", Cost!$A$2:$A$4, 0)), "Lỗi dữ liệu"))</f>
        <v>6000000</v>
      </c>
      <c r="H186" s="35">
        <v>1</v>
      </c>
      <c r="I186" s="40">
        <v>0</v>
      </c>
      <c r="J186" s="45"/>
      <c r="K186" s="47"/>
      <c r="L186" s="47"/>
      <c r="M186" s="47"/>
      <c r="N186" s="47"/>
      <c r="O186" s="47"/>
      <c r="P186" s="47"/>
      <c r="Q186" s="47"/>
      <c r="R186" s="47"/>
      <c r="S186" s="47"/>
      <c r="T186" s="47"/>
      <c r="U186" s="47"/>
      <c r="V186" s="47"/>
      <c r="W186" s="47"/>
      <c r="X186" s="47"/>
      <c r="Y186" s="47"/>
      <c r="Z186" s="47"/>
    </row>
    <row r="187" spans="1:26" ht="30" customHeight="1" x14ac:dyDescent="0.3">
      <c r="A187" s="50" t="s">
        <v>63</v>
      </c>
      <c r="B187" s="50" t="s">
        <v>66</v>
      </c>
      <c r="C187" s="20" t="s">
        <v>152</v>
      </c>
      <c r="D187" s="45">
        <v>50</v>
      </c>
      <c r="E187" s="86">
        <f t="array" ref="E187">IF(C187="","",IFERROR(INDEX(Cost!$B$2:$B$4, MATCH("*" &amp; C187 &amp; "*", Cost!$A$2:$A$4, 0)), "Lỗi dữ liệu"))</f>
        <v>0.4</v>
      </c>
      <c r="F187" s="39" cm="1">
        <f t="array" ref="F187">_xlfn.IFS( C187="Road",LOOKUP(D187,{0,50,150},Cost!$B$8:$B$10), C187="Barge",Cost!$B$11, C187="Rail",Cost!$B$12, TRUE,0 )</f>
        <v>500000</v>
      </c>
      <c r="G187" s="88">
        <f>IF(C187="","",IFERROR(INDEX(Cost!$B$16:$B$18, MATCH("*" &amp; C187 &amp; "*", Cost!$A$2:$A$4, 0)), "Lỗi dữ liệu"))</f>
        <v>20000000</v>
      </c>
      <c r="H187" s="35">
        <v>1</v>
      </c>
      <c r="I187" s="40">
        <v>0</v>
      </c>
      <c r="J187" s="45"/>
      <c r="K187" s="47"/>
      <c r="L187" s="47"/>
      <c r="M187" s="47"/>
      <c r="N187" s="47"/>
      <c r="O187" s="47"/>
      <c r="P187" s="47"/>
      <c r="Q187" s="47"/>
      <c r="R187" s="47"/>
      <c r="S187" s="47"/>
      <c r="T187" s="47"/>
      <c r="U187" s="47"/>
      <c r="V187" s="47"/>
      <c r="W187" s="47"/>
      <c r="X187" s="47"/>
      <c r="Y187" s="47"/>
      <c r="Z187" s="47"/>
    </row>
    <row r="188" spans="1:26" ht="30" customHeight="1" x14ac:dyDescent="0.3">
      <c r="A188" s="50" t="s">
        <v>63</v>
      </c>
      <c r="B188" s="50" t="s">
        <v>66</v>
      </c>
      <c r="C188" s="20" t="s">
        <v>139</v>
      </c>
      <c r="D188" s="45">
        <v>52</v>
      </c>
      <c r="E188" s="86">
        <f t="array" ref="E188">IF(C188="","",IFERROR(INDEX(Cost!$B$2:$B$4, MATCH("*" &amp; C188 &amp; "*", Cost!$A$2:$A$4, 0)), "Lỗi dữ liệu"))</f>
        <v>0.25</v>
      </c>
      <c r="F188" s="39" cm="1">
        <f t="array" ref="F188">_xlfn.IFS( C188="Road",LOOKUP(D188,{0,50,150},Cost!$B$8:$B$10), C188="Barge",Cost!$B$11, C188="Rail",Cost!$B$12, TRUE,0 )</f>
        <v>1000000</v>
      </c>
      <c r="G188" s="88">
        <f>IF(C188="","",IFERROR(INDEX(Cost!$B$16:$B$18, MATCH("*" &amp; C188 &amp; "*", Cost!$A$2:$A$4, 0)), "Lỗi dữ liệu"))</f>
        <v>80000000</v>
      </c>
      <c r="H188" s="35">
        <v>1</v>
      </c>
      <c r="I188" s="40">
        <v>0</v>
      </c>
      <c r="J188" s="45"/>
      <c r="K188" s="47"/>
      <c r="L188" s="47"/>
      <c r="M188" s="47"/>
      <c r="N188" s="47"/>
      <c r="O188" s="47"/>
      <c r="P188" s="47"/>
      <c r="Q188" s="47"/>
      <c r="R188" s="47"/>
      <c r="S188" s="47"/>
      <c r="T188" s="47"/>
      <c r="U188" s="47"/>
      <c r="V188" s="47"/>
      <c r="W188" s="47"/>
      <c r="X188" s="47"/>
      <c r="Y188" s="47"/>
      <c r="Z188" s="47"/>
    </row>
    <row r="189" spans="1:26" ht="30" customHeight="1" x14ac:dyDescent="0.3">
      <c r="A189" s="50" t="s">
        <v>63</v>
      </c>
      <c r="B189" s="50" t="s">
        <v>82</v>
      </c>
      <c r="C189" s="20" t="s">
        <v>162</v>
      </c>
      <c r="D189" s="45">
        <v>28</v>
      </c>
      <c r="E189" s="86">
        <f t="array" ref="E189">IF(C189="","",IFERROR(INDEX(Cost!$B$2:$B$4, MATCH("*" &amp; C189 &amp; "*", Cost!$A$2:$A$4, 0)), "Lỗi dữ liệu"))</f>
        <v>1</v>
      </c>
      <c r="F189" s="39" cm="1">
        <f t="array" ref="F189">_xlfn.IFS( C189="Road",LOOKUP(D189,{0,50,150},Cost!$B$8:$B$10), C189="Barge",Cost!$B$11, C189="Rail",Cost!$B$12, TRUE,0 )</f>
        <v>800000</v>
      </c>
      <c r="G189" s="88">
        <f>IF(C189="","",IFERROR(INDEX(Cost!$B$16:$B$18, MATCH("*" &amp; C189 &amp; "*", Cost!$A$2:$A$4, 0)), "Lỗi dữ liệu"))</f>
        <v>6000000</v>
      </c>
      <c r="H189" s="35">
        <v>1</v>
      </c>
      <c r="I189" s="40">
        <v>0</v>
      </c>
      <c r="J189" s="45"/>
      <c r="K189" s="3"/>
      <c r="L189" s="3"/>
      <c r="M189" s="3"/>
      <c r="N189" s="3"/>
      <c r="O189" s="3"/>
      <c r="P189" s="3"/>
      <c r="Q189" s="3"/>
      <c r="R189" s="3"/>
      <c r="S189" s="3"/>
      <c r="T189" s="3"/>
      <c r="U189" s="3"/>
      <c r="V189" s="3"/>
      <c r="W189" s="3"/>
      <c r="X189" s="3"/>
      <c r="Y189" s="3"/>
      <c r="Z189" s="3"/>
    </row>
    <row r="190" spans="1:26" ht="30" customHeight="1" x14ac:dyDescent="0.3">
      <c r="A190" s="50" t="s">
        <v>63</v>
      </c>
      <c r="B190" s="50" t="s">
        <v>82</v>
      </c>
      <c r="C190" s="20" t="s">
        <v>152</v>
      </c>
      <c r="D190" s="45">
        <v>25</v>
      </c>
      <c r="E190" s="86">
        <f t="array" ref="E190">IF(C190="","",IFERROR(INDEX(Cost!$B$2:$B$4, MATCH("*" &amp; C190 &amp; "*", Cost!$A$2:$A$4, 0)), "Lỗi dữ liệu"))</f>
        <v>0.4</v>
      </c>
      <c r="F190" s="39" cm="1">
        <f t="array" ref="F190">_xlfn.IFS( C190="Road",LOOKUP(D190,{0,50,150},Cost!$B$8:$B$10), C190="Barge",Cost!$B$11, C190="Rail",Cost!$B$12, TRUE,0 )</f>
        <v>500000</v>
      </c>
      <c r="G190" s="88">
        <f>IF(C190="","",IFERROR(INDEX(Cost!$B$16:$B$18, MATCH("*" &amp; C190 &amp; "*", Cost!$A$2:$A$4, 0)), "Lỗi dữ liệu"))</f>
        <v>20000000</v>
      </c>
      <c r="H190" s="35">
        <v>1</v>
      </c>
      <c r="I190" s="40">
        <v>0</v>
      </c>
      <c r="J190" s="45"/>
      <c r="K190" s="3"/>
      <c r="L190" s="3"/>
      <c r="M190" s="3"/>
      <c r="N190" s="3"/>
      <c r="O190" s="3"/>
      <c r="P190" s="3"/>
      <c r="Q190" s="3"/>
      <c r="R190" s="3"/>
      <c r="S190" s="3"/>
      <c r="T190" s="3"/>
      <c r="U190" s="3"/>
      <c r="V190" s="3"/>
      <c r="W190" s="3"/>
      <c r="X190" s="3"/>
      <c r="Y190" s="3"/>
      <c r="Z190" s="3"/>
    </row>
    <row r="191" spans="1:26" ht="30" customHeight="1" x14ac:dyDescent="0.3">
      <c r="A191" s="50" t="s">
        <v>63</v>
      </c>
      <c r="B191" s="50" t="s">
        <v>82</v>
      </c>
      <c r="C191" s="20" t="s">
        <v>139</v>
      </c>
      <c r="D191" s="45">
        <v>33</v>
      </c>
      <c r="E191" s="86">
        <f t="array" ref="E191">IF(C191="","",IFERROR(INDEX(Cost!$B$2:$B$4, MATCH("*" &amp; C191 &amp; "*", Cost!$A$2:$A$4, 0)), "Lỗi dữ liệu"))</f>
        <v>0.25</v>
      </c>
      <c r="F191" s="39" cm="1">
        <f t="array" ref="F191">_xlfn.IFS( C191="Road",LOOKUP(D191,{0,50,150},Cost!$B$8:$B$10), C191="Barge",Cost!$B$11, C191="Rail",Cost!$B$12, TRUE,0 )</f>
        <v>1000000</v>
      </c>
      <c r="G191" s="88">
        <f>IF(C191="","",IFERROR(INDEX(Cost!$B$16:$B$18, MATCH("*" &amp; C191 &amp; "*", Cost!$A$2:$A$4, 0)), "Lỗi dữ liệu"))</f>
        <v>80000000</v>
      </c>
      <c r="H191" s="35">
        <v>1</v>
      </c>
      <c r="I191" s="40">
        <v>0</v>
      </c>
      <c r="J191" s="45"/>
      <c r="K191" s="3"/>
      <c r="L191" s="3"/>
      <c r="M191" s="3"/>
      <c r="N191" s="3"/>
      <c r="O191" s="3"/>
      <c r="P191" s="3"/>
      <c r="Q191" s="3"/>
      <c r="R191" s="3"/>
      <c r="S191" s="3"/>
      <c r="T191" s="3"/>
      <c r="U191" s="3"/>
      <c r="V191" s="3"/>
      <c r="W191" s="3"/>
      <c r="X191" s="3"/>
      <c r="Y191" s="3"/>
      <c r="Z191" s="3"/>
    </row>
    <row r="192" spans="1:26" ht="30" customHeight="1" x14ac:dyDescent="0.3">
      <c r="A192" s="50" t="s">
        <v>63</v>
      </c>
      <c r="B192" s="50" t="s">
        <v>102</v>
      </c>
      <c r="C192" s="20" t="s">
        <v>162</v>
      </c>
      <c r="D192" s="45">
        <v>48</v>
      </c>
      <c r="E192" s="86">
        <f t="array" ref="E192">IF(C192="","",IFERROR(INDEX(Cost!$B$2:$B$4, MATCH("*" &amp; C192 &amp; "*", Cost!$A$2:$A$4, 0)), "Lỗi dữ liệu"))</f>
        <v>1</v>
      </c>
      <c r="F192" s="39" cm="1">
        <f t="array" ref="F192">_xlfn.IFS( C192="Road",LOOKUP(D192,{0,50,150},Cost!$B$8:$B$10), C192="Barge",Cost!$B$11, C192="Rail",Cost!$B$12, TRUE,0 )</f>
        <v>800000</v>
      </c>
      <c r="G192" s="88">
        <f>IF(C192="","",IFERROR(INDEX(Cost!$B$16:$B$18, MATCH("*" &amp; C192 &amp; "*", Cost!$A$2:$A$4, 0)), "Lỗi dữ liệu"))</f>
        <v>6000000</v>
      </c>
      <c r="H192" s="35">
        <v>1</v>
      </c>
      <c r="I192" s="40">
        <v>0</v>
      </c>
      <c r="J192" s="45"/>
      <c r="K192" s="47"/>
      <c r="L192" s="47"/>
      <c r="M192" s="47"/>
      <c r="N192" s="47"/>
      <c r="O192" s="47"/>
      <c r="P192" s="47"/>
      <c r="Q192" s="47"/>
      <c r="R192" s="47"/>
      <c r="S192" s="47"/>
      <c r="T192" s="47"/>
      <c r="U192" s="47"/>
      <c r="V192" s="47"/>
      <c r="W192" s="47"/>
      <c r="X192" s="47"/>
      <c r="Y192" s="47"/>
      <c r="Z192" s="47"/>
    </row>
    <row r="193" spans="1:26" ht="30" customHeight="1" x14ac:dyDescent="0.3">
      <c r="A193" s="50" t="s">
        <v>63</v>
      </c>
      <c r="B193" s="50" t="s">
        <v>102</v>
      </c>
      <c r="C193" s="20" t="s">
        <v>152</v>
      </c>
      <c r="D193" s="45">
        <v>40</v>
      </c>
      <c r="E193" s="86">
        <f t="array" ref="E193">IF(C193="","",IFERROR(INDEX(Cost!$B$2:$B$4, MATCH("*" &amp; C193 &amp; "*", Cost!$A$2:$A$4, 0)), "Lỗi dữ liệu"))</f>
        <v>0.4</v>
      </c>
      <c r="F193" s="39" cm="1">
        <f t="array" ref="F193">_xlfn.IFS( C193="Road",LOOKUP(D193,{0,50,150},Cost!$B$8:$B$10), C193="Barge",Cost!$B$11, C193="Rail",Cost!$B$12, TRUE,0 )</f>
        <v>500000</v>
      </c>
      <c r="G193" s="88">
        <f>IF(C193="","",IFERROR(INDEX(Cost!$B$16:$B$18, MATCH("*" &amp; C193 &amp; "*", Cost!$A$2:$A$4, 0)), "Lỗi dữ liệu"))</f>
        <v>20000000</v>
      </c>
      <c r="H193" s="35">
        <v>1</v>
      </c>
      <c r="I193" s="40">
        <v>0</v>
      </c>
      <c r="J193" s="45"/>
      <c r="K193" s="47"/>
      <c r="L193" s="47"/>
      <c r="M193" s="47"/>
      <c r="N193" s="47"/>
      <c r="O193" s="47"/>
      <c r="P193" s="47"/>
      <c r="Q193" s="47"/>
      <c r="R193" s="47"/>
      <c r="S193" s="47"/>
      <c r="T193" s="47"/>
      <c r="U193" s="47"/>
      <c r="V193" s="47"/>
      <c r="W193" s="47"/>
      <c r="X193" s="47"/>
      <c r="Y193" s="47"/>
      <c r="Z193" s="47"/>
    </row>
    <row r="194" spans="1:26" ht="30" customHeight="1" x14ac:dyDescent="0.3">
      <c r="A194" s="50" t="s">
        <v>63</v>
      </c>
      <c r="B194" s="50" t="s">
        <v>119</v>
      </c>
      <c r="C194" s="20" t="s">
        <v>162</v>
      </c>
      <c r="D194" s="45">
        <v>38</v>
      </c>
      <c r="E194" s="86">
        <f t="array" ref="E194">IF(C194="","",IFERROR(INDEX(Cost!$B$2:$B$4, MATCH("*" &amp; C194 &amp; "*", Cost!$A$2:$A$4, 0)), "Lỗi dữ liệu"))</f>
        <v>1</v>
      </c>
      <c r="F194" s="39" cm="1">
        <f t="array" ref="F194">_xlfn.IFS( C194="Road",LOOKUP(D194,{0,50,150},Cost!$B$8:$B$10), C194="Barge",Cost!$B$11, C194="Rail",Cost!$B$12, TRUE,0 )</f>
        <v>800000</v>
      </c>
      <c r="G194" s="88">
        <f>IF(C194="","",IFERROR(INDEX(Cost!$B$16:$B$18, MATCH("*" &amp; C194 &amp; "*", Cost!$A$2:$A$4, 0)), "Lỗi dữ liệu"))</f>
        <v>6000000</v>
      </c>
      <c r="H194" s="35">
        <v>1</v>
      </c>
      <c r="I194" s="40">
        <v>0</v>
      </c>
      <c r="J194" s="45"/>
      <c r="K194" s="3"/>
      <c r="L194" s="3"/>
      <c r="M194" s="3"/>
      <c r="N194" s="3"/>
      <c r="O194" s="3"/>
      <c r="P194" s="3"/>
      <c r="Q194" s="3"/>
      <c r="R194" s="3"/>
      <c r="S194" s="3"/>
      <c r="T194" s="3"/>
      <c r="U194" s="3"/>
      <c r="V194" s="3"/>
      <c r="W194" s="3"/>
      <c r="X194" s="3"/>
      <c r="Y194" s="3"/>
      <c r="Z194" s="3"/>
    </row>
    <row r="195" spans="1:26" ht="30" customHeight="1" x14ac:dyDescent="0.3">
      <c r="A195" s="50" t="s">
        <v>63</v>
      </c>
      <c r="B195" s="50" t="s">
        <v>119</v>
      </c>
      <c r="C195" s="20" t="s">
        <v>152</v>
      </c>
      <c r="D195" s="45">
        <v>33</v>
      </c>
      <c r="E195" s="86">
        <f t="array" ref="E195">IF(C195="","",IFERROR(INDEX(Cost!$B$2:$B$4, MATCH("*" &amp; C195 &amp; "*", Cost!$A$2:$A$4, 0)), "Lỗi dữ liệu"))</f>
        <v>0.4</v>
      </c>
      <c r="F195" s="39" cm="1">
        <f t="array" ref="F195">_xlfn.IFS( C195="Road",LOOKUP(D195,{0,50,150},Cost!$B$8:$B$10), C195="Barge",Cost!$B$11, C195="Rail",Cost!$B$12, TRUE,0 )</f>
        <v>500000</v>
      </c>
      <c r="G195" s="88">
        <f>IF(C195="","",IFERROR(INDEX(Cost!$B$16:$B$18, MATCH("*" &amp; C195 &amp; "*", Cost!$A$2:$A$4, 0)), "Lỗi dữ liệu"))</f>
        <v>20000000</v>
      </c>
      <c r="H195" s="35">
        <v>1</v>
      </c>
      <c r="I195" s="40">
        <v>0</v>
      </c>
      <c r="J195" s="45"/>
      <c r="K195" s="3"/>
      <c r="L195" s="3"/>
      <c r="M195" s="3"/>
      <c r="N195" s="3"/>
      <c r="O195" s="3"/>
      <c r="P195" s="3"/>
      <c r="Q195" s="3"/>
      <c r="R195" s="3"/>
      <c r="S195" s="3"/>
      <c r="T195" s="3"/>
      <c r="U195" s="3"/>
      <c r="V195" s="3"/>
      <c r="W195" s="3"/>
      <c r="X195" s="3"/>
      <c r="Y195" s="3"/>
      <c r="Z195" s="3"/>
    </row>
    <row r="196" spans="1:26" ht="30" customHeight="1" x14ac:dyDescent="0.3">
      <c r="A196" s="50" t="s">
        <v>63</v>
      </c>
      <c r="B196" s="50" t="s">
        <v>119</v>
      </c>
      <c r="C196" s="20" t="s">
        <v>139</v>
      </c>
      <c r="D196" s="45">
        <v>38</v>
      </c>
      <c r="E196" s="86">
        <f t="array" ref="E196">IF(C196="","",IFERROR(INDEX(Cost!$B$2:$B$4, MATCH("*" &amp; C196 &amp; "*", Cost!$A$2:$A$4, 0)), "Lỗi dữ liệu"))</f>
        <v>0.25</v>
      </c>
      <c r="F196" s="39" cm="1">
        <f t="array" ref="F196">_xlfn.IFS( C196="Road",LOOKUP(D196,{0,50,150},Cost!$B$8:$B$10), C196="Barge",Cost!$B$11, C196="Rail",Cost!$B$12, TRUE,0 )</f>
        <v>1000000</v>
      </c>
      <c r="G196" s="88">
        <f>IF(C196="","",IFERROR(INDEX(Cost!$B$16:$B$18, MATCH("*" &amp; C196 &amp; "*", Cost!$A$2:$A$4, 0)), "Lỗi dữ liệu"))</f>
        <v>80000000</v>
      </c>
      <c r="H196" s="35">
        <v>1</v>
      </c>
      <c r="I196" s="40">
        <v>0</v>
      </c>
      <c r="J196" s="45"/>
      <c r="K196" s="3"/>
      <c r="L196" s="3"/>
      <c r="M196" s="3"/>
      <c r="N196" s="3"/>
      <c r="O196" s="3"/>
      <c r="P196" s="3"/>
      <c r="Q196" s="3"/>
      <c r="R196" s="3"/>
      <c r="S196" s="3"/>
      <c r="T196" s="3"/>
      <c r="U196" s="3"/>
      <c r="V196" s="3"/>
      <c r="W196" s="3"/>
      <c r="X196" s="3"/>
      <c r="Y196" s="3"/>
      <c r="Z196" s="3"/>
    </row>
    <row r="197" spans="1:26" ht="30" customHeight="1" x14ac:dyDescent="0.3">
      <c r="A197" s="50" t="s">
        <v>63</v>
      </c>
      <c r="B197" s="50" t="s">
        <v>126</v>
      </c>
      <c r="C197" s="20" t="s">
        <v>162</v>
      </c>
      <c r="D197" s="45">
        <v>47</v>
      </c>
      <c r="E197" s="86">
        <f t="array" ref="E197">IF(C197="","",IFERROR(INDEX(Cost!$B$2:$B$4, MATCH("*" &amp; C197 &amp; "*", Cost!$A$2:$A$4, 0)), "Lỗi dữ liệu"))</f>
        <v>1</v>
      </c>
      <c r="F197" s="39" cm="1">
        <f t="array" ref="F197">_xlfn.IFS( C197="Road",LOOKUP(D197,{0,50,150},Cost!$B$8:$B$10), C197="Barge",Cost!$B$11, C197="Rail",Cost!$B$12, TRUE,0 )</f>
        <v>800000</v>
      </c>
      <c r="G197" s="88">
        <v>0</v>
      </c>
      <c r="H197" s="35">
        <v>1</v>
      </c>
      <c r="I197" s="40">
        <v>0</v>
      </c>
      <c r="J197" s="45"/>
      <c r="K197" s="47"/>
      <c r="L197" s="47"/>
      <c r="M197" s="47"/>
      <c r="N197" s="47"/>
      <c r="O197" s="47"/>
      <c r="P197" s="47"/>
      <c r="Q197" s="47"/>
      <c r="R197" s="47"/>
      <c r="S197" s="47"/>
      <c r="T197" s="47"/>
      <c r="U197" s="47"/>
      <c r="V197" s="47"/>
      <c r="W197" s="47"/>
      <c r="X197" s="47"/>
      <c r="Y197" s="47"/>
      <c r="Z197" s="47"/>
    </row>
    <row r="198" spans="1:26" ht="30" customHeight="1" x14ac:dyDescent="0.3">
      <c r="A198" s="50" t="s">
        <v>63</v>
      </c>
      <c r="B198" s="50" t="s">
        <v>126</v>
      </c>
      <c r="C198" s="20" t="s">
        <v>152</v>
      </c>
      <c r="D198" s="45">
        <v>42</v>
      </c>
      <c r="E198" s="86">
        <f t="array" ref="E198">IF(C198="","",IFERROR(INDEX(Cost!$B$2:$B$4, MATCH("*" &amp; C198 &amp; "*", Cost!$A$2:$A$4, 0)), "Lỗi dữ liệu"))</f>
        <v>0.4</v>
      </c>
      <c r="F198" s="39" cm="1">
        <f t="array" ref="F198">_xlfn.IFS( C198="Road",LOOKUP(D198,{0,50,150},Cost!$B$8:$B$10), C198="Barge",Cost!$B$11, C198="Rail",Cost!$B$12, TRUE,0 )</f>
        <v>500000</v>
      </c>
      <c r="G198" s="88">
        <f>IF(C198="","",IFERROR(INDEX(Cost!$B$16:$B$18, MATCH("*" &amp; C198 &amp; "*", Cost!$A$2:$A$4, 0)), "Lỗi dữ liệu"))</f>
        <v>20000000</v>
      </c>
      <c r="H198" s="35">
        <v>1</v>
      </c>
      <c r="I198" s="40">
        <v>0</v>
      </c>
      <c r="J198" s="45"/>
      <c r="K198" s="47"/>
      <c r="L198" s="47"/>
      <c r="M198" s="47"/>
      <c r="N198" s="47"/>
      <c r="O198" s="47"/>
      <c r="P198" s="47"/>
      <c r="Q198" s="47"/>
      <c r="R198" s="47"/>
      <c r="S198" s="47"/>
      <c r="T198" s="47"/>
      <c r="U198" s="47"/>
      <c r="V198" s="47"/>
      <c r="W198" s="47"/>
      <c r="X198" s="47"/>
      <c r="Y198" s="47"/>
      <c r="Z198" s="47"/>
    </row>
    <row r="199" spans="1:26" ht="30" customHeight="1" x14ac:dyDescent="0.3">
      <c r="A199" s="50" t="s">
        <v>63</v>
      </c>
      <c r="B199" s="50" t="s">
        <v>126</v>
      </c>
      <c r="C199" s="20" t="s">
        <v>139</v>
      </c>
      <c r="D199" s="45">
        <v>45</v>
      </c>
      <c r="E199" s="86">
        <f t="array" ref="E199">IF(C199="","",IFERROR(INDEX(Cost!$B$2:$B$4, MATCH("*" &amp; C199 &amp; "*", Cost!$A$2:$A$4, 0)), "Lỗi dữ liệu"))</f>
        <v>0.25</v>
      </c>
      <c r="F199" s="39" cm="1">
        <f t="array" ref="F199">_xlfn.IFS( C199="Road",LOOKUP(D199,{0,50,150},Cost!$B$8:$B$10), C199="Barge",Cost!$B$11, C199="Rail",Cost!$B$12, TRUE,0 )</f>
        <v>1000000</v>
      </c>
      <c r="G199" s="88">
        <v>0</v>
      </c>
      <c r="H199" s="35">
        <v>1</v>
      </c>
      <c r="I199" s="40">
        <v>0</v>
      </c>
      <c r="J199" s="45"/>
      <c r="K199" s="47"/>
      <c r="L199" s="47"/>
      <c r="M199" s="47"/>
      <c r="N199" s="47"/>
      <c r="O199" s="47"/>
      <c r="P199" s="47"/>
      <c r="Q199" s="47"/>
      <c r="R199" s="47"/>
      <c r="S199" s="47"/>
      <c r="T199" s="47"/>
      <c r="U199" s="47"/>
      <c r="V199" s="47"/>
      <c r="W199" s="47"/>
      <c r="X199" s="47"/>
      <c r="Y199" s="47"/>
      <c r="Z199" s="47"/>
    </row>
    <row r="200" spans="1:26" ht="30" customHeight="1" x14ac:dyDescent="0.3">
      <c r="A200" s="55" t="s">
        <v>66</v>
      </c>
      <c r="B200" s="55" t="s">
        <v>24</v>
      </c>
      <c r="C200" s="20" t="s">
        <v>162</v>
      </c>
      <c r="D200" s="45">
        <v>140</v>
      </c>
      <c r="E200" s="86">
        <f t="array" ref="E200">IF(C200="","",IFERROR(INDEX(Cost!$B$2:$B$4, MATCH("*" &amp; C200 &amp; "*", Cost!$A$2:$A$4, 0)), "Lỗi dữ liệu"))</f>
        <v>1</v>
      </c>
      <c r="F200" s="39" cm="1">
        <f t="array" ref="F200">_xlfn.IFS( C200="Road",LOOKUP(D200,{0,50,150},Cost!$B$8:$B$10), C200="Barge",Cost!$B$11, C200="Rail",Cost!$B$12, TRUE,0 )</f>
        <v>500000</v>
      </c>
      <c r="G200" s="88">
        <f>IF(C200="","",IFERROR(INDEX(Cost!$B$16:$B$18, MATCH("*" &amp; C200 &amp; "*", Cost!$A$2:$A$4, 0)), "Lỗi dữ liệu"))</f>
        <v>6000000</v>
      </c>
      <c r="H200" s="35">
        <v>1</v>
      </c>
      <c r="I200" s="40">
        <v>1</v>
      </c>
      <c r="J200" s="45"/>
      <c r="K200" s="3"/>
      <c r="L200" s="3"/>
      <c r="M200" s="3"/>
      <c r="N200" s="3"/>
      <c r="O200" s="3"/>
      <c r="P200" s="3"/>
      <c r="Q200" s="3"/>
      <c r="R200" s="3"/>
      <c r="S200" s="3"/>
      <c r="T200" s="3"/>
      <c r="U200" s="3"/>
      <c r="V200" s="3"/>
      <c r="W200" s="3"/>
      <c r="X200" s="3"/>
      <c r="Y200" s="3"/>
      <c r="Z200" s="3"/>
    </row>
    <row r="201" spans="1:26" ht="30" customHeight="1" x14ac:dyDescent="0.3">
      <c r="A201" s="55" t="s">
        <v>66</v>
      </c>
      <c r="B201" s="55" t="s">
        <v>24</v>
      </c>
      <c r="C201" s="20" t="s">
        <v>152</v>
      </c>
      <c r="D201" s="45">
        <v>120</v>
      </c>
      <c r="E201" s="86">
        <f t="array" ref="E201">IF(C201="","",IFERROR(INDEX(Cost!$B$2:$B$4, MATCH("*" &amp; C201 &amp; "*", Cost!$A$2:$A$4, 0)), "Lỗi dữ liệu"))</f>
        <v>0.4</v>
      </c>
      <c r="F201" s="39" cm="1">
        <f t="array" ref="F201">_xlfn.IFS( C201="Road",LOOKUP(D201,{0,50,150},Cost!$B$8:$B$10), C201="Barge",Cost!$B$11, C201="Rail",Cost!$B$12, TRUE,0 )</f>
        <v>500000</v>
      </c>
      <c r="G201" s="88">
        <f>IF(C201="","",IFERROR(INDEX(Cost!$B$16:$B$18, MATCH("*" &amp; C201 &amp; "*", Cost!$A$2:$A$4, 0)), "Lỗi dữ liệu"))</f>
        <v>20000000</v>
      </c>
      <c r="H201" s="35">
        <v>1</v>
      </c>
      <c r="I201" s="40">
        <v>1</v>
      </c>
      <c r="J201" s="45"/>
      <c r="K201" s="3"/>
      <c r="L201" s="3"/>
      <c r="M201" s="3"/>
      <c r="N201" s="3"/>
      <c r="O201" s="3"/>
      <c r="P201" s="3"/>
      <c r="Q201" s="3"/>
      <c r="R201" s="3"/>
      <c r="S201" s="3"/>
      <c r="T201" s="3"/>
      <c r="U201" s="3"/>
      <c r="V201" s="3"/>
      <c r="W201" s="3"/>
      <c r="X201" s="3"/>
      <c r="Y201" s="3"/>
      <c r="Z201" s="3"/>
    </row>
    <row r="202" spans="1:26" ht="30" customHeight="1" x14ac:dyDescent="0.3">
      <c r="A202" s="55" t="s">
        <v>66</v>
      </c>
      <c r="B202" s="55" t="s">
        <v>24</v>
      </c>
      <c r="C202" s="20" t="s">
        <v>139</v>
      </c>
      <c r="D202" s="45">
        <v>130</v>
      </c>
      <c r="E202" s="86">
        <f t="array" ref="E202">IF(C202="","",IFERROR(INDEX(Cost!$B$2:$B$4, MATCH("*" &amp; C202 &amp; "*", Cost!$A$2:$A$4, 0)), "Lỗi dữ liệu"))</f>
        <v>0.25</v>
      </c>
      <c r="F202" s="39" cm="1">
        <f t="array" ref="F202">_xlfn.IFS( C202="Road",LOOKUP(D202,{0,50,150},Cost!$B$8:$B$10), C202="Barge",Cost!$B$11, C202="Rail",Cost!$B$12, TRUE,0 )</f>
        <v>1000000</v>
      </c>
      <c r="G202" s="88">
        <f>IF(C202="","",IFERROR(INDEX(Cost!$B$16:$B$18, MATCH("*" &amp; C202 &amp; "*", Cost!$A$2:$A$4, 0)), "Lỗi dữ liệu"))</f>
        <v>80000000</v>
      </c>
      <c r="H202" s="35">
        <v>1</v>
      </c>
      <c r="I202" s="40">
        <v>1</v>
      </c>
      <c r="J202" s="45"/>
      <c r="K202" s="3"/>
      <c r="L202" s="3"/>
      <c r="M202" s="3"/>
      <c r="N202" s="3"/>
      <c r="O202" s="3"/>
      <c r="P202" s="3"/>
      <c r="Q202" s="3"/>
      <c r="R202" s="3"/>
      <c r="S202" s="3"/>
      <c r="T202" s="3"/>
      <c r="U202" s="3"/>
      <c r="V202" s="3"/>
      <c r="W202" s="3"/>
      <c r="X202" s="3"/>
      <c r="Y202" s="3"/>
      <c r="Z202" s="3"/>
    </row>
    <row r="203" spans="1:26" ht="30" customHeight="1" x14ac:dyDescent="0.3">
      <c r="A203" s="55" t="s">
        <v>66</v>
      </c>
      <c r="B203" s="55" t="s">
        <v>11</v>
      </c>
      <c r="C203" s="20" t="s">
        <v>162</v>
      </c>
      <c r="D203" s="45">
        <v>120</v>
      </c>
      <c r="E203" s="86">
        <f t="array" ref="E203">IF(C203="","",IFERROR(INDEX(Cost!$B$2:$B$4, MATCH("*" &amp; C203 &amp; "*", Cost!$A$2:$A$4, 0)), "Lỗi dữ liệu"))</f>
        <v>1</v>
      </c>
      <c r="F203" s="39" cm="1">
        <f t="array" ref="F203">_xlfn.IFS( C203="Road",LOOKUP(D203,{0,50,150},Cost!$B$8:$B$10), C203="Barge",Cost!$B$11, C203="Rail",Cost!$B$12, TRUE,0 )</f>
        <v>500000</v>
      </c>
      <c r="G203" s="88">
        <f>IF(C203="","",IFERROR(INDEX(Cost!$B$16:$B$18, MATCH("*" &amp; C203 &amp; "*", Cost!$A$2:$A$4, 0)), "Lỗi dữ liệu"))</f>
        <v>6000000</v>
      </c>
      <c r="H203" s="35">
        <v>1</v>
      </c>
      <c r="I203" s="40">
        <v>0</v>
      </c>
      <c r="J203" s="45"/>
      <c r="K203" s="47"/>
      <c r="L203" s="47"/>
      <c r="M203" s="47"/>
      <c r="N203" s="47"/>
      <c r="O203" s="47"/>
      <c r="P203" s="47"/>
      <c r="Q203" s="47"/>
      <c r="R203" s="47"/>
      <c r="S203" s="47"/>
      <c r="T203" s="47"/>
      <c r="U203" s="47"/>
      <c r="V203" s="47"/>
      <c r="W203" s="47"/>
      <c r="X203" s="47"/>
      <c r="Y203" s="47"/>
      <c r="Z203" s="47"/>
    </row>
    <row r="204" spans="1:26" ht="30" customHeight="1" x14ac:dyDescent="0.3">
      <c r="A204" s="55" t="s">
        <v>66</v>
      </c>
      <c r="B204" s="55" t="s">
        <v>11</v>
      </c>
      <c r="C204" s="20" t="s">
        <v>152</v>
      </c>
      <c r="D204" s="45">
        <v>115</v>
      </c>
      <c r="E204" s="86">
        <f t="array" ref="E204">IF(C204="","",IFERROR(INDEX(Cost!$B$2:$B$4, MATCH("*" &amp; C204 &amp; "*", Cost!$A$2:$A$4, 0)), "Lỗi dữ liệu"))</f>
        <v>0.4</v>
      </c>
      <c r="F204" s="39" cm="1">
        <f t="array" ref="F204">_xlfn.IFS( C204="Road",LOOKUP(D204,{0,50,150},Cost!$B$8:$B$10), C204="Barge",Cost!$B$11, C204="Rail",Cost!$B$12, TRUE,0 )</f>
        <v>500000</v>
      </c>
      <c r="G204" s="88">
        <f>IF(C204="","",IFERROR(INDEX(Cost!$B$16:$B$18, MATCH("*" &amp; C204 &amp; "*", Cost!$A$2:$A$4, 0)), "Lỗi dữ liệu"))</f>
        <v>20000000</v>
      </c>
      <c r="H204" s="35">
        <v>1</v>
      </c>
      <c r="I204" s="40">
        <v>0</v>
      </c>
      <c r="J204" s="45"/>
      <c r="K204" s="47"/>
      <c r="L204" s="47"/>
      <c r="M204" s="47"/>
      <c r="N204" s="47"/>
      <c r="O204" s="47"/>
      <c r="P204" s="47"/>
      <c r="Q204" s="47"/>
      <c r="R204" s="47"/>
      <c r="S204" s="47"/>
      <c r="T204" s="47"/>
      <c r="U204" s="47"/>
      <c r="V204" s="47"/>
      <c r="W204" s="47"/>
      <c r="X204" s="47"/>
      <c r="Y204" s="47"/>
      <c r="Z204" s="47"/>
    </row>
    <row r="205" spans="1:26" ht="30" customHeight="1" x14ac:dyDescent="0.3">
      <c r="A205" s="55" t="s">
        <v>66</v>
      </c>
      <c r="B205" s="55" t="s">
        <v>11</v>
      </c>
      <c r="C205" s="20" t="s">
        <v>139</v>
      </c>
      <c r="D205" s="45">
        <v>120</v>
      </c>
      <c r="E205" s="86">
        <f t="array" ref="E205">IF(C205="","",IFERROR(INDEX(Cost!$B$2:$B$4, MATCH("*" &amp; C205 &amp; "*", Cost!$A$2:$A$4, 0)), "Lỗi dữ liệu"))</f>
        <v>0.25</v>
      </c>
      <c r="F205" s="39" cm="1">
        <f t="array" ref="F205">_xlfn.IFS( C205="Road",LOOKUP(D205,{0,50,150},Cost!$B$8:$B$10), C205="Barge",Cost!$B$11, C205="Rail",Cost!$B$12, TRUE,0 )</f>
        <v>1000000</v>
      </c>
      <c r="G205" s="88">
        <f>IF(C205="","",IFERROR(INDEX(Cost!$B$16:$B$18, MATCH("*" &amp; C205 &amp; "*", Cost!$A$2:$A$4, 0)), "Lỗi dữ liệu"))</f>
        <v>80000000</v>
      </c>
      <c r="H205" s="35">
        <v>1</v>
      </c>
      <c r="I205" s="40">
        <v>0</v>
      </c>
      <c r="J205" s="45"/>
      <c r="K205" s="47"/>
      <c r="L205" s="47"/>
      <c r="M205" s="47"/>
      <c r="N205" s="47"/>
      <c r="O205" s="47"/>
      <c r="P205" s="47"/>
      <c r="Q205" s="47"/>
      <c r="R205" s="47"/>
      <c r="S205" s="47"/>
      <c r="T205" s="47"/>
      <c r="U205" s="47"/>
      <c r="V205" s="47"/>
      <c r="W205" s="47"/>
      <c r="X205" s="47"/>
      <c r="Y205" s="47"/>
      <c r="Z205" s="47"/>
    </row>
    <row r="206" spans="1:26" ht="30" customHeight="1" x14ac:dyDescent="0.3">
      <c r="A206" s="55" t="s">
        <v>66</v>
      </c>
      <c r="B206" s="55" t="s">
        <v>17</v>
      </c>
      <c r="C206" s="20" t="s">
        <v>162</v>
      </c>
      <c r="D206" s="45">
        <v>128</v>
      </c>
      <c r="E206" s="86">
        <f t="array" ref="E206">IF(C206="","",IFERROR(INDEX(Cost!$B$2:$B$4, MATCH("*" &amp; C206 &amp; "*", Cost!$A$2:$A$4, 0)), "Lỗi dữ liệu"))</f>
        <v>1</v>
      </c>
      <c r="F206" s="39" cm="1">
        <f t="array" ref="F206">_xlfn.IFS( C206="Road",LOOKUP(D206,{0,50,150},Cost!$B$8:$B$10), C206="Barge",Cost!$B$11, C206="Rail",Cost!$B$12, TRUE,0 )</f>
        <v>500000</v>
      </c>
      <c r="G206" s="88">
        <f>IF(C206="","",IFERROR(INDEX(Cost!$B$16:$B$18, MATCH("*" &amp; C206 &amp; "*", Cost!$A$2:$A$4, 0)), "Lỗi dữ liệu"))</f>
        <v>6000000</v>
      </c>
      <c r="H206" s="35">
        <v>1</v>
      </c>
      <c r="I206" s="40">
        <v>0</v>
      </c>
      <c r="J206" s="45"/>
      <c r="K206" s="3"/>
      <c r="L206" s="3"/>
      <c r="M206" s="3"/>
      <c r="N206" s="3"/>
      <c r="O206" s="3"/>
      <c r="P206" s="3"/>
      <c r="Q206" s="3"/>
      <c r="R206" s="3"/>
      <c r="S206" s="3"/>
      <c r="T206" s="3"/>
      <c r="U206" s="3"/>
      <c r="V206" s="3"/>
      <c r="W206" s="3"/>
      <c r="X206" s="3"/>
      <c r="Y206" s="3"/>
      <c r="Z206" s="3"/>
    </row>
    <row r="207" spans="1:26" ht="30" customHeight="1" x14ac:dyDescent="0.3">
      <c r="A207" s="55" t="s">
        <v>66</v>
      </c>
      <c r="B207" s="55" t="s">
        <v>17</v>
      </c>
      <c r="C207" s="20" t="s">
        <v>152</v>
      </c>
      <c r="D207" s="45">
        <v>115</v>
      </c>
      <c r="E207" s="86">
        <f t="array" ref="E207">IF(C207="","",IFERROR(INDEX(Cost!$B$2:$B$4, MATCH("*" &amp; C207 &amp; "*", Cost!$A$2:$A$4, 0)), "Lỗi dữ liệu"))</f>
        <v>0.4</v>
      </c>
      <c r="F207" s="39" cm="1">
        <f t="array" ref="F207">_xlfn.IFS( C207="Road",LOOKUP(D207,{0,50,150},Cost!$B$8:$B$10), C207="Barge",Cost!$B$11, C207="Rail",Cost!$B$12, TRUE,0 )</f>
        <v>500000</v>
      </c>
      <c r="G207" s="88">
        <f>IF(C207="","",IFERROR(INDEX(Cost!$B$16:$B$18, MATCH("*" &amp; C207 &amp; "*", Cost!$A$2:$A$4, 0)), "Lỗi dữ liệu"))</f>
        <v>20000000</v>
      </c>
      <c r="H207" s="35">
        <v>1</v>
      </c>
      <c r="I207" s="40">
        <v>0</v>
      </c>
      <c r="J207" s="45"/>
      <c r="K207" s="3"/>
      <c r="L207" s="3"/>
      <c r="M207" s="3"/>
      <c r="N207" s="3"/>
      <c r="O207" s="3"/>
      <c r="P207" s="3"/>
      <c r="Q207" s="3"/>
      <c r="R207" s="3"/>
      <c r="S207" s="3"/>
      <c r="T207" s="3"/>
      <c r="U207" s="3"/>
      <c r="V207" s="3"/>
      <c r="W207" s="3"/>
      <c r="X207" s="3"/>
      <c r="Y207" s="3"/>
      <c r="Z207" s="3"/>
    </row>
    <row r="208" spans="1:26" ht="30" customHeight="1" x14ac:dyDescent="0.3">
      <c r="A208" s="55" t="s">
        <v>66</v>
      </c>
      <c r="B208" s="55" t="s">
        <v>17</v>
      </c>
      <c r="C208" s="20" t="s">
        <v>139</v>
      </c>
      <c r="D208" s="45">
        <v>122</v>
      </c>
      <c r="E208" s="86">
        <f t="array" ref="E208">IF(C208="","",IFERROR(INDEX(Cost!$B$2:$B$4, MATCH("*" &amp; C208 &amp; "*", Cost!$A$2:$A$4, 0)), "Lỗi dữ liệu"))</f>
        <v>0.25</v>
      </c>
      <c r="F208" s="39" cm="1">
        <f t="array" ref="F208">_xlfn.IFS( C208="Road",LOOKUP(D208,{0,50,150},Cost!$B$8:$B$10), C208="Barge",Cost!$B$11, C208="Rail",Cost!$B$12, TRUE,0 )</f>
        <v>1000000</v>
      </c>
      <c r="G208" s="88">
        <f>IF(C208="","",IFERROR(INDEX(Cost!$B$16:$B$18, MATCH("*" &amp; C208 &amp; "*", Cost!$A$2:$A$4, 0)), "Lỗi dữ liệu"))</f>
        <v>80000000</v>
      </c>
      <c r="H208" s="35">
        <v>1</v>
      </c>
      <c r="I208" s="40">
        <v>0</v>
      </c>
      <c r="J208" s="45"/>
      <c r="K208" s="3"/>
      <c r="L208" s="3"/>
      <c r="M208" s="3"/>
      <c r="N208" s="3"/>
      <c r="O208" s="3"/>
      <c r="P208" s="3"/>
      <c r="Q208" s="3"/>
      <c r="R208" s="3"/>
      <c r="S208" s="3"/>
      <c r="T208" s="3"/>
      <c r="U208" s="3"/>
      <c r="V208" s="3"/>
      <c r="W208" s="3"/>
      <c r="X208" s="3"/>
      <c r="Y208" s="3"/>
      <c r="Z208" s="3"/>
    </row>
    <row r="209" spans="1:26" ht="30" customHeight="1" x14ac:dyDescent="0.3">
      <c r="A209" s="55" t="s">
        <v>66</v>
      </c>
      <c r="B209" s="55" t="s">
        <v>29</v>
      </c>
      <c r="C209" s="20" t="s">
        <v>162</v>
      </c>
      <c r="D209" s="45">
        <v>120</v>
      </c>
      <c r="E209" s="86">
        <f t="array" ref="E209">IF(C209="","",IFERROR(INDEX(Cost!$B$2:$B$4, MATCH("*" &amp; C209 &amp; "*", Cost!$A$2:$A$4, 0)), "Lỗi dữ liệu"))</f>
        <v>1</v>
      </c>
      <c r="F209" s="39" cm="1">
        <f t="array" ref="F209">_xlfn.IFS( C209="Road",LOOKUP(D209,{0,50,150},Cost!$B$8:$B$10), C209="Barge",Cost!$B$11, C209="Rail",Cost!$B$12, TRUE,0 )</f>
        <v>500000</v>
      </c>
      <c r="G209" s="88">
        <f>IF(C209="","",IFERROR(INDEX(Cost!$B$16:$B$18, MATCH("*" &amp; C209 &amp; "*", Cost!$A$2:$A$4, 0)), "Lỗi dữ liệu"))</f>
        <v>6000000</v>
      </c>
      <c r="H209" s="35">
        <v>1</v>
      </c>
      <c r="I209" s="40">
        <v>0</v>
      </c>
      <c r="J209" s="45"/>
      <c r="K209" s="47"/>
      <c r="L209" s="47"/>
      <c r="M209" s="47"/>
      <c r="N209" s="47"/>
      <c r="O209" s="47"/>
      <c r="P209" s="47"/>
      <c r="Q209" s="47"/>
      <c r="R209" s="47"/>
      <c r="S209" s="47"/>
      <c r="T209" s="47"/>
      <c r="U209" s="47"/>
      <c r="V209" s="47"/>
      <c r="W209" s="47"/>
      <c r="X209" s="47"/>
      <c r="Y209" s="47"/>
      <c r="Z209" s="47"/>
    </row>
    <row r="210" spans="1:26" ht="30" customHeight="1" x14ac:dyDescent="0.3">
      <c r="A210" s="55" t="s">
        <v>66</v>
      </c>
      <c r="B210" s="55" t="s">
        <v>29</v>
      </c>
      <c r="C210" s="20" t="s">
        <v>152</v>
      </c>
      <c r="D210" s="45">
        <v>112</v>
      </c>
      <c r="E210" s="86">
        <f t="array" ref="E210">IF(C210="","",IFERROR(INDEX(Cost!$B$2:$B$4, MATCH("*" &amp; C210 &amp; "*", Cost!$A$2:$A$4, 0)), "Lỗi dữ liệu"))</f>
        <v>0.4</v>
      </c>
      <c r="F210" s="39" cm="1">
        <f t="array" ref="F210">_xlfn.IFS( C210="Road",LOOKUP(D210,{0,50,150},Cost!$B$8:$B$10), C210="Barge",Cost!$B$11, C210="Rail",Cost!$B$12, TRUE,0 )</f>
        <v>500000</v>
      </c>
      <c r="G210" s="88">
        <f>IF(C210="","",IFERROR(INDEX(Cost!$B$16:$B$18, MATCH("*" &amp; C210 &amp; "*", Cost!$A$2:$A$4, 0)), "Lỗi dữ liệu"))</f>
        <v>20000000</v>
      </c>
      <c r="H210" s="35">
        <v>1</v>
      </c>
      <c r="I210" s="40">
        <v>0</v>
      </c>
      <c r="J210" s="45"/>
      <c r="K210" s="47"/>
      <c r="L210" s="47"/>
      <c r="M210" s="47"/>
      <c r="N210" s="47"/>
      <c r="O210" s="47"/>
      <c r="P210" s="47"/>
      <c r="Q210" s="47"/>
      <c r="R210" s="47"/>
      <c r="S210" s="47"/>
      <c r="T210" s="47"/>
      <c r="U210" s="47"/>
      <c r="V210" s="47"/>
      <c r="W210" s="47"/>
      <c r="X210" s="47"/>
      <c r="Y210" s="47"/>
      <c r="Z210" s="47"/>
    </row>
    <row r="211" spans="1:26" ht="30" customHeight="1" x14ac:dyDescent="0.3">
      <c r="A211" s="55" t="s">
        <v>66</v>
      </c>
      <c r="B211" s="55" t="s">
        <v>49</v>
      </c>
      <c r="C211" s="20" t="s">
        <v>162</v>
      </c>
      <c r="D211" s="45">
        <v>54</v>
      </c>
      <c r="E211" s="86">
        <f t="array" ref="E211">IF(C211="","",IFERROR(INDEX(Cost!$B$2:$B$4, MATCH("*" &amp; C211 &amp; "*", Cost!$A$2:$A$4, 0)), "Lỗi dữ liệu"))</f>
        <v>1</v>
      </c>
      <c r="F211" s="39" cm="1">
        <f t="array" ref="F211">_xlfn.IFS( C211="Road",LOOKUP(D211,{0,50,150},Cost!$B$8:$B$10), C211="Barge",Cost!$B$11, C211="Rail",Cost!$B$12, TRUE,0 )</f>
        <v>500000</v>
      </c>
      <c r="G211" s="88">
        <f>IF(C211="","",IFERROR(INDEX(Cost!$B$16:$B$18, MATCH("*" &amp; C211 &amp; "*", Cost!$A$2:$A$4, 0)), "Lỗi dữ liệu"))</f>
        <v>6000000</v>
      </c>
      <c r="H211" s="35">
        <v>1</v>
      </c>
      <c r="I211" s="40">
        <v>0</v>
      </c>
      <c r="J211" s="45"/>
      <c r="K211" s="3"/>
      <c r="L211" s="3"/>
      <c r="M211" s="3"/>
      <c r="N211" s="3"/>
      <c r="O211" s="3"/>
      <c r="P211" s="3"/>
      <c r="Q211" s="3"/>
      <c r="R211" s="3"/>
      <c r="S211" s="3"/>
      <c r="T211" s="3"/>
      <c r="U211" s="3"/>
      <c r="V211" s="3"/>
      <c r="W211" s="3"/>
      <c r="X211" s="3"/>
      <c r="Y211" s="3"/>
      <c r="Z211" s="3"/>
    </row>
    <row r="212" spans="1:26" ht="30" customHeight="1" x14ac:dyDescent="0.3">
      <c r="A212" s="55" t="s">
        <v>66</v>
      </c>
      <c r="B212" s="55" t="s">
        <v>49</v>
      </c>
      <c r="C212" s="20" t="s">
        <v>152</v>
      </c>
      <c r="D212" s="45">
        <v>48</v>
      </c>
      <c r="E212" s="86">
        <f t="array" ref="E212">IF(C212="","",IFERROR(INDEX(Cost!$B$2:$B$4, MATCH("*" &amp; C212 &amp; "*", Cost!$A$2:$A$4, 0)), "Lỗi dữ liệu"))</f>
        <v>0.4</v>
      </c>
      <c r="F212" s="39" cm="1">
        <f t="array" ref="F212">_xlfn.IFS( C212="Road",LOOKUP(D212,{0,50,150},Cost!$B$8:$B$10), C212="Barge",Cost!$B$11, C212="Rail",Cost!$B$12, TRUE,0 )</f>
        <v>500000</v>
      </c>
      <c r="G212" s="88">
        <f>IF(C212="","",IFERROR(INDEX(Cost!$B$16:$B$18, MATCH("*" &amp; C212 &amp; "*", Cost!$A$2:$A$4, 0)), "Lỗi dữ liệu"))</f>
        <v>20000000</v>
      </c>
      <c r="H212" s="35">
        <v>1</v>
      </c>
      <c r="I212" s="40">
        <v>0</v>
      </c>
      <c r="J212" s="45"/>
      <c r="K212" s="3"/>
      <c r="L212" s="3"/>
      <c r="M212" s="3"/>
      <c r="N212" s="3"/>
      <c r="O212" s="3"/>
      <c r="P212" s="3"/>
      <c r="Q212" s="3"/>
      <c r="R212" s="3"/>
      <c r="S212" s="3"/>
      <c r="T212" s="3"/>
      <c r="U212" s="3"/>
      <c r="V212" s="3"/>
      <c r="W212" s="3"/>
      <c r="X212" s="3"/>
      <c r="Y212" s="3"/>
      <c r="Z212" s="3"/>
    </row>
    <row r="213" spans="1:26" ht="30" customHeight="1" x14ac:dyDescent="0.3">
      <c r="A213" s="55" t="s">
        <v>66</v>
      </c>
      <c r="B213" s="55" t="s">
        <v>49</v>
      </c>
      <c r="C213" s="20" t="s">
        <v>139</v>
      </c>
      <c r="D213" s="45">
        <v>52</v>
      </c>
      <c r="E213" s="86">
        <f t="array" ref="E213">IF(C213="","",IFERROR(INDEX(Cost!$B$2:$B$4, MATCH("*" &amp; C213 &amp; "*", Cost!$A$2:$A$4, 0)), "Lỗi dữ liệu"))</f>
        <v>0.25</v>
      </c>
      <c r="F213" s="39" cm="1">
        <f t="array" ref="F213">_xlfn.IFS( C213="Road",LOOKUP(D213,{0,50,150},Cost!$B$8:$B$10), C213="Barge",Cost!$B$11, C213="Rail",Cost!$B$12, TRUE,0 )</f>
        <v>1000000</v>
      </c>
      <c r="G213" s="88">
        <f>IF(C213="","",IFERROR(INDEX(Cost!$B$16:$B$18, MATCH("*" &amp; C213 &amp; "*", Cost!$A$2:$A$4, 0)), "Lỗi dữ liệu"))</f>
        <v>80000000</v>
      </c>
      <c r="H213" s="35">
        <v>1</v>
      </c>
      <c r="I213" s="40">
        <v>0</v>
      </c>
      <c r="J213" s="45"/>
      <c r="K213" s="3"/>
      <c r="L213" s="3"/>
      <c r="M213" s="3"/>
      <c r="N213" s="3"/>
      <c r="O213" s="3"/>
      <c r="P213" s="3"/>
      <c r="Q213" s="3"/>
      <c r="R213" s="3"/>
      <c r="S213" s="3"/>
      <c r="T213" s="3"/>
      <c r="U213" s="3"/>
      <c r="V213" s="3"/>
      <c r="W213" s="3"/>
      <c r="X213" s="3"/>
      <c r="Y213" s="3"/>
      <c r="Z213" s="3"/>
    </row>
    <row r="214" spans="1:26" ht="30" customHeight="1" x14ac:dyDescent="0.3">
      <c r="A214" s="55" t="s">
        <v>66</v>
      </c>
      <c r="B214" s="55" t="s">
        <v>58</v>
      </c>
      <c r="C214" s="20" t="s">
        <v>162</v>
      </c>
      <c r="D214" s="45">
        <v>22</v>
      </c>
      <c r="E214" s="86">
        <f t="array" ref="E214">IF(C214="","",IFERROR(INDEX(Cost!$B$2:$B$4, MATCH("*" &amp; C214 &amp; "*", Cost!$A$2:$A$4, 0)), "Lỗi dữ liệu"))</f>
        <v>1</v>
      </c>
      <c r="F214" s="39" cm="1">
        <f t="array" ref="F214">_xlfn.IFS( C214="Road",LOOKUP(D214,{0,50,150},Cost!$B$8:$B$10), C214="Barge",Cost!$B$11, C214="Rail",Cost!$B$12, TRUE,0 )</f>
        <v>800000</v>
      </c>
      <c r="G214" s="88">
        <f>IF(C214="","",IFERROR(INDEX(Cost!$B$16:$B$18, MATCH("*" &amp; C214 &amp; "*", Cost!$A$2:$A$4, 0)), "Lỗi dữ liệu"))</f>
        <v>6000000</v>
      </c>
      <c r="H214" s="35">
        <v>1</v>
      </c>
      <c r="I214" s="40">
        <v>0</v>
      </c>
      <c r="J214" s="45"/>
      <c r="K214" s="47"/>
      <c r="L214" s="47"/>
      <c r="M214" s="47"/>
      <c r="N214" s="47"/>
      <c r="O214" s="47"/>
      <c r="P214" s="47"/>
      <c r="Q214" s="47"/>
      <c r="R214" s="47"/>
      <c r="S214" s="47"/>
      <c r="T214" s="47"/>
      <c r="U214" s="47"/>
      <c r="V214" s="47"/>
      <c r="W214" s="47"/>
      <c r="X214" s="47"/>
      <c r="Y214" s="47"/>
      <c r="Z214" s="47"/>
    </row>
    <row r="215" spans="1:26" ht="30" customHeight="1" x14ac:dyDescent="0.3">
      <c r="A215" s="55" t="s">
        <v>66</v>
      </c>
      <c r="B215" s="55" t="s">
        <v>58</v>
      </c>
      <c r="C215" s="20" t="s">
        <v>152</v>
      </c>
      <c r="D215" s="45">
        <v>18</v>
      </c>
      <c r="E215" s="86">
        <f t="array" ref="E215">IF(C215="","",IFERROR(INDEX(Cost!$B$2:$B$4, MATCH("*" &amp; C215 &amp; "*", Cost!$A$2:$A$4, 0)), "Lỗi dữ liệu"))</f>
        <v>0.4</v>
      </c>
      <c r="F215" s="39" cm="1">
        <f t="array" ref="F215">_xlfn.IFS( C215="Road",LOOKUP(D215,{0,50,150},Cost!$B$8:$B$10), C215="Barge",Cost!$B$11, C215="Rail",Cost!$B$12, TRUE,0 )</f>
        <v>500000</v>
      </c>
      <c r="G215" s="88">
        <f>IF(C215="","",IFERROR(INDEX(Cost!$B$16:$B$18, MATCH("*" &amp; C215 &amp; "*", Cost!$A$2:$A$4, 0)), "Lỗi dữ liệu"))</f>
        <v>20000000</v>
      </c>
      <c r="H215" s="35">
        <v>1</v>
      </c>
      <c r="I215" s="40">
        <v>0</v>
      </c>
      <c r="J215" s="45"/>
      <c r="K215" s="47"/>
      <c r="L215" s="47"/>
      <c r="M215" s="47"/>
      <c r="N215" s="47"/>
      <c r="O215" s="47"/>
      <c r="P215" s="47"/>
      <c r="Q215" s="47"/>
      <c r="R215" s="47"/>
      <c r="S215" s="47"/>
      <c r="T215" s="47"/>
      <c r="U215" s="47"/>
      <c r="V215" s="47"/>
      <c r="W215" s="47"/>
      <c r="X215" s="47"/>
      <c r="Y215" s="47"/>
      <c r="Z215" s="47"/>
    </row>
    <row r="216" spans="1:26" ht="30" customHeight="1" x14ac:dyDescent="0.3">
      <c r="A216" s="55" t="s">
        <v>66</v>
      </c>
      <c r="B216" s="55" t="s">
        <v>58</v>
      </c>
      <c r="C216" s="20" t="s">
        <v>139</v>
      </c>
      <c r="D216" s="45">
        <v>25</v>
      </c>
      <c r="E216" s="86">
        <f t="array" ref="E216">IF(C216="","",IFERROR(INDEX(Cost!$B$2:$B$4, MATCH("*" &amp; C216 &amp; "*", Cost!$A$2:$A$4, 0)), "Lỗi dữ liệu"))</f>
        <v>0.25</v>
      </c>
      <c r="F216" s="39" cm="1">
        <f t="array" ref="F216">_xlfn.IFS( C216="Road",LOOKUP(D216,{0,50,150},Cost!$B$8:$B$10), C216="Barge",Cost!$B$11, C216="Rail",Cost!$B$12, TRUE,0 )</f>
        <v>1000000</v>
      </c>
      <c r="G216" s="88">
        <f>IF(C216="","",IFERROR(INDEX(Cost!$B$16:$B$18, MATCH("*" &amp; C216 &amp; "*", Cost!$A$2:$A$4, 0)), "Lỗi dữ liệu"))</f>
        <v>80000000</v>
      </c>
      <c r="H216" s="35">
        <v>1</v>
      </c>
      <c r="I216" s="40">
        <v>0</v>
      </c>
      <c r="J216" s="45"/>
      <c r="K216" s="47"/>
      <c r="L216" s="47"/>
      <c r="M216" s="47"/>
      <c r="N216" s="47"/>
      <c r="O216" s="47"/>
      <c r="P216" s="47"/>
      <c r="Q216" s="47"/>
      <c r="R216" s="47"/>
      <c r="S216" s="47"/>
      <c r="T216" s="47"/>
      <c r="U216" s="47"/>
      <c r="V216" s="47"/>
      <c r="W216" s="47"/>
      <c r="X216" s="47"/>
      <c r="Y216" s="47"/>
      <c r="Z216" s="47"/>
    </row>
    <row r="217" spans="1:26" ht="30" customHeight="1" x14ac:dyDescent="0.3">
      <c r="A217" s="55" t="s">
        <v>66</v>
      </c>
      <c r="B217" s="55" t="s">
        <v>63</v>
      </c>
      <c r="C217" s="20" t="s">
        <v>162</v>
      </c>
      <c r="D217" s="45">
        <v>55</v>
      </c>
      <c r="E217" s="86">
        <f t="array" ref="E217">IF(C217="","",IFERROR(INDEX(Cost!$B$2:$B$4, MATCH("*" &amp; C217 &amp; "*", Cost!$A$2:$A$4, 0)), "Lỗi dữ liệu"))</f>
        <v>1</v>
      </c>
      <c r="F217" s="39" cm="1">
        <f t="array" ref="F217">_xlfn.IFS( C217="Road",LOOKUP(D217,{0,50,150},Cost!$B$8:$B$10), C217="Barge",Cost!$B$11, C217="Rail",Cost!$B$12, TRUE,0 )</f>
        <v>500000</v>
      </c>
      <c r="G217" s="88">
        <f>IF(C217="","",IFERROR(INDEX(Cost!$B$16:$B$18, MATCH("*" &amp; C217 &amp; "*", Cost!$A$2:$A$4, 0)), "Lỗi dữ liệu"))</f>
        <v>6000000</v>
      </c>
      <c r="H217" s="35">
        <v>1</v>
      </c>
      <c r="I217" s="40">
        <v>0</v>
      </c>
      <c r="J217" s="45"/>
      <c r="K217" s="3"/>
      <c r="L217" s="3"/>
      <c r="M217" s="3"/>
      <c r="N217" s="3"/>
      <c r="O217" s="3"/>
      <c r="P217" s="3"/>
      <c r="Q217" s="3"/>
      <c r="R217" s="3"/>
      <c r="S217" s="3"/>
      <c r="T217" s="3"/>
      <c r="U217" s="3"/>
      <c r="V217" s="3"/>
      <c r="W217" s="3"/>
      <c r="X217" s="3"/>
      <c r="Y217" s="3"/>
      <c r="Z217" s="3"/>
    </row>
    <row r="218" spans="1:26" ht="30" customHeight="1" x14ac:dyDescent="0.3">
      <c r="A218" s="55" t="s">
        <v>66</v>
      </c>
      <c r="B218" s="55" t="s">
        <v>63</v>
      </c>
      <c r="C218" s="20" t="s">
        <v>152</v>
      </c>
      <c r="D218" s="45">
        <v>48</v>
      </c>
      <c r="E218" s="86">
        <f t="array" ref="E218">IF(C218="","",IFERROR(INDEX(Cost!$B$2:$B$4, MATCH("*" &amp; C218 &amp; "*", Cost!$A$2:$A$4, 0)), "Lỗi dữ liệu"))</f>
        <v>0.4</v>
      </c>
      <c r="F218" s="39" cm="1">
        <f t="array" ref="F218">_xlfn.IFS( C218="Road",LOOKUP(D218,{0,50,150},Cost!$B$8:$B$10), C218="Barge",Cost!$B$11, C218="Rail",Cost!$B$12, TRUE,0 )</f>
        <v>500000</v>
      </c>
      <c r="G218" s="88">
        <f>IF(C218="","",IFERROR(INDEX(Cost!$B$16:$B$18, MATCH("*" &amp; C218 &amp; "*", Cost!$A$2:$A$4, 0)), "Lỗi dữ liệu"))</f>
        <v>20000000</v>
      </c>
      <c r="H218" s="35">
        <v>1</v>
      </c>
      <c r="I218" s="40">
        <v>0</v>
      </c>
      <c r="J218" s="45"/>
      <c r="K218" s="3"/>
      <c r="L218" s="3"/>
      <c r="M218" s="3"/>
      <c r="N218" s="3"/>
      <c r="O218" s="3"/>
      <c r="P218" s="3"/>
      <c r="Q218" s="3"/>
      <c r="R218" s="3"/>
      <c r="S218" s="3"/>
      <c r="T218" s="3"/>
      <c r="U218" s="3"/>
      <c r="V218" s="3"/>
      <c r="W218" s="3"/>
      <c r="X218" s="3"/>
      <c r="Y218" s="3"/>
      <c r="Z218" s="3"/>
    </row>
    <row r="219" spans="1:26" ht="30" customHeight="1" x14ac:dyDescent="0.3">
      <c r="A219" s="55" t="s">
        <v>66</v>
      </c>
      <c r="B219" s="55" t="s">
        <v>63</v>
      </c>
      <c r="C219" s="20" t="s">
        <v>139</v>
      </c>
      <c r="D219" s="45">
        <v>54</v>
      </c>
      <c r="E219" s="86">
        <f t="array" ref="E219">IF(C219="","",IFERROR(INDEX(Cost!$B$2:$B$4, MATCH("*" &amp; C219 &amp; "*", Cost!$A$2:$A$4, 0)), "Lỗi dữ liệu"))</f>
        <v>0.25</v>
      </c>
      <c r="F219" s="39" cm="1">
        <f t="array" ref="F219">_xlfn.IFS( C219="Road",LOOKUP(D219,{0,50,150},Cost!$B$8:$B$10), C219="Barge",Cost!$B$11, C219="Rail",Cost!$B$12, TRUE,0 )</f>
        <v>1000000</v>
      </c>
      <c r="G219" s="88">
        <f>IF(C219="","",IFERROR(INDEX(Cost!$B$16:$B$18, MATCH("*" &amp; C219 &amp; "*", Cost!$A$2:$A$4, 0)), "Lỗi dữ liệu"))</f>
        <v>80000000</v>
      </c>
      <c r="H219" s="35">
        <v>1</v>
      </c>
      <c r="I219" s="40">
        <v>0</v>
      </c>
      <c r="J219" s="45"/>
      <c r="K219" s="3"/>
      <c r="L219" s="3"/>
      <c r="M219" s="3"/>
      <c r="N219" s="3"/>
      <c r="O219" s="3"/>
      <c r="P219" s="3"/>
      <c r="Q219" s="3"/>
      <c r="R219" s="3"/>
      <c r="S219" s="3"/>
      <c r="T219" s="3"/>
      <c r="U219" s="3"/>
      <c r="V219" s="3"/>
      <c r="W219" s="3"/>
      <c r="X219" s="3"/>
      <c r="Y219" s="3"/>
      <c r="Z219" s="3"/>
    </row>
    <row r="220" spans="1:26" ht="30" customHeight="1" x14ac:dyDescent="0.3">
      <c r="A220" s="55" t="s">
        <v>66</v>
      </c>
      <c r="B220" s="55" t="s">
        <v>82</v>
      </c>
      <c r="C220" s="20" t="s">
        <v>162</v>
      </c>
      <c r="D220" s="45">
        <v>33</v>
      </c>
      <c r="E220" s="86">
        <f t="array" ref="E220">IF(C220="","",IFERROR(INDEX(Cost!$B$2:$B$4, MATCH("*" &amp; C220 &amp; "*", Cost!$A$2:$A$4, 0)), "Lỗi dữ liệu"))</f>
        <v>1</v>
      </c>
      <c r="F220" s="39" cm="1">
        <f t="array" ref="F220">_xlfn.IFS( C220="Road",LOOKUP(D220,{0,50,150},Cost!$B$8:$B$10), C220="Barge",Cost!$B$11, C220="Rail",Cost!$B$12, TRUE,0 )</f>
        <v>800000</v>
      </c>
      <c r="G220" s="88">
        <f>IF(C220="","",IFERROR(INDEX(Cost!$B$16:$B$18, MATCH("*" &amp; C220 &amp; "*", Cost!$A$2:$A$4, 0)), "Lỗi dữ liệu"))</f>
        <v>6000000</v>
      </c>
      <c r="H220" s="35">
        <v>1</v>
      </c>
      <c r="I220" s="40">
        <v>0</v>
      </c>
      <c r="J220" s="45"/>
      <c r="K220" s="47"/>
      <c r="L220" s="47"/>
      <c r="M220" s="47"/>
      <c r="N220" s="47"/>
      <c r="O220" s="47"/>
      <c r="P220" s="47"/>
      <c r="Q220" s="47"/>
      <c r="R220" s="47"/>
      <c r="S220" s="47"/>
      <c r="T220" s="47"/>
      <c r="U220" s="47"/>
      <c r="V220" s="47"/>
      <c r="W220" s="47"/>
      <c r="X220" s="47"/>
      <c r="Y220" s="47"/>
      <c r="Z220" s="47"/>
    </row>
    <row r="221" spans="1:26" ht="30" customHeight="1" x14ac:dyDescent="0.3">
      <c r="A221" s="55" t="s">
        <v>66</v>
      </c>
      <c r="B221" s="55" t="s">
        <v>82</v>
      </c>
      <c r="C221" s="20" t="s">
        <v>152</v>
      </c>
      <c r="D221" s="45">
        <v>28</v>
      </c>
      <c r="E221" s="86">
        <f t="array" ref="E221">IF(C221="","",IFERROR(INDEX(Cost!$B$2:$B$4, MATCH("*" &amp; C221 &amp; "*", Cost!$A$2:$A$4, 0)), "Lỗi dữ liệu"))</f>
        <v>0.4</v>
      </c>
      <c r="F221" s="39" cm="1">
        <f t="array" ref="F221">_xlfn.IFS( C221="Road",LOOKUP(D221,{0,50,150},Cost!$B$8:$B$10), C221="Barge",Cost!$B$11, C221="Rail",Cost!$B$12, TRUE,0 )</f>
        <v>500000</v>
      </c>
      <c r="G221" s="88">
        <f>IF(C221="","",IFERROR(INDEX(Cost!$B$16:$B$18, MATCH("*" &amp; C221 &amp; "*", Cost!$A$2:$A$4, 0)), "Lỗi dữ liệu"))</f>
        <v>20000000</v>
      </c>
      <c r="H221" s="35">
        <v>1</v>
      </c>
      <c r="I221" s="40">
        <v>0</v>
      </c>
      <c r="J221" s="45"/>
      <c r="K221" s="47"/>
      <c r="L221" s="47"/>
      <c r="M221" s="47"/>
      <c r="N221" s="47"/>
      <c r="O221" s="47"/>
      <c r="P221" s="47"/>
      <c r="Q221" s="47"/>
      <c r="R221" s="47"/>
      <c r="S221" s="47"/>
      <c r="T221" s="47"/>
      <c r="U221" s="47"/>
      <c r="V221" s="47"/>
      <c r="W221" s="47"/>
      <c r="X221" s="47"/>
      <c r="Y221" s="47"/>
      <c r="Z221" s="47"/>
    </row>
    <row r="222" spans="1:26" ht="30" customHeight="1" x14ac:dyDescent="0.3">
      <c r="A222" s="55" t="s">
        <v>66</v>
      </c>
      <c r="B222" s="55" t="s">
        <v>82</v>
      </c>
      <c r="C222" s="20" t="s">
        <v>139</v>
      </c>
      <c r="D222" s="45">
        <v>35</v>
      </c>
      <c r="E222" s="86">
        <f t="array" ref="E222">IF(C222="","",IFERROR(INDEX(Cost!$B$2:$B$4, MATCH("*" &amp; C222 &amp; "*", Cost!$A$2:$A$4, 0)), "Lỗi dữ liệu"))</f>
        <v>0.25</v>
      </c>
      <c r="F222" s="39" cm="1">
        <f t="array" ref="F222">_xlfn.IFS( C222="Road",LOOKUP(D222,{0,50,150},Cost!$B$8:$B$10), C222="Barge",Cost!$B$11, C222="Rail",Cost!$B$12, TRUE,0 )</f>
        <v>1000000</v>
      </c>
      <c r="G222" s="88">
        <f>IF(C222="","",IFERROR(INDEX(Cost!$B$16:$B$18, MATCH("*" &amp; C222 &amp; "*", Cost!$A$2:$A$4, 0)), "Lỗi dữ liệu"))</f>
        <v>80000000</v>
      </c>
      <c r="H222" s="35">
        <v>1</v>
      </c>
      <c r="I222" s="40">
        <v>0</v>
      </c>
      <c r="J222" s="45"/>
      <c r="K222" s="47"/>
      <c r="L222" s="47"/>
      <c r="M222" s="47"/>
      <c r="N222" s="47"/>
      <c r="O222" s="47"/>
      <c r="P222" s="47"/>
      <c r="Q222" s="47"/>
      <c r="R222" s="47"/>
      <c r="S222" s="47"/>
      <c r="T222" s="47"/>
      <c r="U222" s="47"/>
      <c r="V222" s="47"/>
      <c r="W222" s="47"/>
      <c r="X222" s="47"/>
      <c r="Y222" s="47"/>
      <c r="Z222" s="47"/>
    </row>
    <row r="223" spans="1:26" ht="30" customHeight="1" x14ac:dyDescent="0.3">
      <c r="A223" s="55" t="s">
        <v>66</v>
      </c>
      <c r="B223" s="55" t="s">
        <v>102</v>
      </c>
      <c r="C223" s="20" t="s">
        <v>162</v>
      </c>
      <c r="D223" s="45">
        <v>39</v>
      </c>
      <c r="E223" s="86">
        <f t="array" ref="E223">IF(C223="","",IFERROR(INDEX(Cost!$B$2:$B$4, MATCH("*" &amp; C223 &amp; "*", Cost!$A$2:$A$4, 0)), "Lỗi dữ liệu"))</f>
        <v>1</v>
      </c>
      <c r="F223" s="39" cm="1">
        <f t="array" ref="F223">_xlfn.IFS( C223="Road",LOOKUP(D223,{0,50,150},Cost!$B$8:$B$10), C223="Barge",Cost!$B$11, C223="Rail",Cost!$B$12, TRUE,0 )</f>
        <v>800000</v>
      </c>
      <c r="G223" s="88">
        <f>IF(C223="","",IFERROR(INDEX(Cost!$B$16:$B$18, MATCH("*" &amp; C223 &amp; "*", Cost!$A$2:$A$4, 0)), "Lỗi dữ liệu"))</f>
        <v>6000000</v>
      </c>
      <c r="H223" s="35">
        <v>1</v>
      </c>
      <c r="I223" s="40">
        <v>0</v>
      </c>
      <c r="J223" s="45"/>
      <c r="K223" s="3"/>
      <c r="L223" s="3"/>
      <c r="M223" s="3"/>
      <c r="N223" s="3"/>
      <c r="O223" s="3"/>
      <c r="P223" s="3"/>
      <c r="Q223" s="3"/>
      <c r="R223" s="3"/>
      <c r="S223" s="3"/>
      <c r="T223" s="3"/>
      <c r="U223" s="3"/>
      <c r="V223" s="3"/>
      <c r="W223" s="3"/>
      <c r="X223" s="3"/>
      <c r="Y223" s="3"/>
      <c r="Z223" s="3"/>
    </row>
    <row r="224" spans="1:26" ht="30" customHeight="1" x14ac:dyDescent="0.3">
      <c r="A224" s="55" t="s">
        <v>66</v>
      </c>
      <c r="B224" s="55" t="s">
        <v>102</v>
      </c>
      <c r="C224" s="20" t="s">
        <v>152</v>
      </c>
      <c r="D224" s="45">
        <v>35</v>
      </c>
      <c r="E224" s="86">
        <f t="array" ref="E224">IF(C224="","",IFERROR(INDEX(Cost!$B$2:$B$4, MATCH("*" &amp; C224 &amp; "*", Cost!$A$2:$A$4, 0)), "Lỗi dữ liệu"))</f>
        <v>0.4</v>
      </c>
      <c r="F224" s="39" cm="1">
        <f t="array" ref="F224">_xlfn.IFS( C224="Road",LOOKUP(D224,{0,50,150},Cost!$B$8:$B$10), C224="Barge",Cost!$B$11, C224="Rail",Cost!$B$12, TRUE,0 )</f>
        <v>500000</v>
      </c>
      <c r="G224" s="88">
        <f>IF(C224="","",IFERROR(INDEX(Cost!$B$16:$B$18, MATCH("*" &amp; C224 &amp; "*", Cost!$A$2:$A$4, 0)), "Lỗi dữ liệu"))</f>
        <v>20000000</v>
      </c>
      <c r="H224" s="35">
        <v>1</v>
      </c>
      <c r="I224" s="40">
        <v>0</v>
      </c>
      <c r="J224" s="45"/>
      <c r="K224" s="3"/>
      <c r="L224" s="3"/>
      <c r="M224" s="3"/>
      <c r="N224" s="3"/>
      <c r="O224" s="3"/>
      <c r="P224" s="3"/>
      <c r="Q224" s="3"/>
      <c r="R224" s="3"/>
      <c r="S224" s="3"/>
      <c r="T224" s="3"/>
      <c r="U224" s="3"/>
      <c r="V224" s="3"/>
      <c r="W224" s="3"/>
      <c r="X224" s="3"/>
      <c r="Y224" s="3"/>
      <c r="Z224" s="3"/>
    </row>
    <row r="225" spans="1:26" ht="30" customHeight="1" x14ac:dyDescent="0.3">
      <c r="A225" s="55" t="s">
        <v>66</v>
      </c>
      <c r="B225" s="55" t="s">
        <v>119</v>
      </c>
      <c r="C225" s="20" t="s">
        <v>162</v>
      </c>
      <c r="D225" s="45">
        <v>24</v>
      </c>
      <c r="E225" s="86">
        <f t="array" ref="E225">IF(C225="","",IFERROR(INDEX(Cost!$B$2:$B$4, MATCH("*" &amp; C225 &amp; "*", Cost!$A$2:$A$4, 0)), "Lỗi dữ liệu"))</f>
        <v>1</v>
      </c>
      <c r="F225" s="39" cm="1">
        <f t="array" ref="F225">_xlfn.IFS( C225="Road",LOOKUP(D225,{0,50,150},Cost!$B$8:$B$10), C225="Barge",Cost!$B$11, C225="Rail",Cost!$B$12, TRUE,0 )</f>
        <v>800000</v>
      </c>
      <c r="G225" s="88">
        <f>IF(C225="","",IFERROR(INDEX(Cost!$B$16:$B$18, MATCH("*" &amp; C225 &amp; "*", Cost!$A$2:$A$4, 0)), "Lỗi dữ liệu"))</f>
        <v>6000000</v>
      </c>
      <c r="H225" s="35">
        <v>1</v>
      </c>
      <c r="I225" s="40">
        <v>0</v>
      </c>
      <c r="J225" s="45"/>
      <c r="K225" s="47"/>
      <c r="L225" s="47"/>
      <c r="M225" s="47"/>
      <c r="N225" s="47"/>
      <c r="O225" s="47"/>
      <c r="P225" s="47"/>
      <c r="Q225" s="47"/>
      <c r="R225" s="47"/>
      <c r="S225" s="47"/>
      <c r="T225" s="47"/>
      <c r="U225" s="47"/>
      <c r="V225" s="47"/>
      <c r="W225" s="47"/>
      <c r="X225" s="47"/>
      <c r="Y225" s="47"/>
      <c r="Z225" s="47"/>
    </row>
    <row r="226" spans="1:26" ht="30" customHeight="1" x14ac:dyDescent="0.3">
      <c r="A226" s="55" t="s">
        <v>66</v>
      </c>
      <c r="B226" s="55" t="s">
        <v>119</v>
      </c>
      <c r="C226" s="20" t="s">
        <v>152</v>
      </c>
      <c r="D226" s="45">
        <v>22</v>
      </c>
      <c r="E226" s="86">
        <f t="array" ref="E226">IF(C226="","",IFERROR(INDEX(Cost!$B$2:$B$4, MATCH("*" &amp; C226 &amp; "*", Cost!$A$2:$A$4, 0)), "Lỗi dữ liệu"))</f>
        <v>0.4</v>
      </c>
      <c r="F226" s="39" cm="1">
        <f t="array" ref="F226">_xlfn.IFS( C226="Road",LOOKUP(D226,{0,50,150},Cost!$B$8:$B$10), C226="Barge",Cost!$B$11, C226="Rail",Cost!$B$12, TRUE,0 )</f>
        <v>500000</v>
      </c>
      <c r="G226" s="88">
        <f>IF(C226="","",IFERROR(INDEX(Cost!$B$16:$B$18, MATCH("*" &amp; C226 &amp; "*", Cost!$A$2:$A$4, 0)), "Lỗi dữ liệu"))</f>
        <v>20000000</v>
      </c>
      <c r="H226" s="35">
        <v>1</v>
      </c>
      <c r="I226" s="40">
        <v>0</v>
      </c>
      <c r="J226" s="45"/>
      <c r="K226" s="47"/>
      <c r="L226" s="47"/>
      <c r="M226" s="47"/>
      <c r="N226" s="47"/>
      <c r="O226" s="47"/>
      <c r="P226" s="47"/>
      <c r="Q226" s="47"/>
      <c r="R226" s="47"/>
      <c r="S226" s="47"/>
      <c r="T226" s="47"/>
      <c r="U226" s="47"/>
      <c r="V226" s="47"/>
      <c r="W226" s="47"/>
      <c r="X226" s="47"/>
      <c r="Y226" s="47"/>
      <c r="Z226" s="47"/>
    </row>
    <row r="227" spans="1:26" ht="30" customHeight="1" x14ac:dyDescent="0.3">
      <c r="A227" s="55" t="s">
        <v>66</v>
      </c>
      <c r="B227" s="55" t="s">
        <v>119</v>
      </c>
      <c r="C227" s="20" t="s">
        <v>139</v>
      </c>
      <c r="D227" s="45">
        <v>25</v>
      </c>
      <c r="E227" s="86">
        <f t="array" ref="E227">IF(C227="","",IFERROR(INDEX(Cost!$B$2:$B$4, MATCH("*" &amp; C227 &amp; "*", Cost!$A$2:$A$4, 0)), "Lỗi dữ liệu"))</f>
        <v>0.25</v>
      </c>
      <c r="F227" s="39" cm="1">
        <f t="array" ref="F227">_xlfn.IFS( C227="Road",LOOKUP(D227,{0,50,150},Cost!$B$8:$B$10), C227="Barge",Cost!$B$11, C227="Rail",Cost!$B$12, TRUE,0 )</f>
        <v>1000000</v>
      </c>
      <c r="G227" s="88">
        <f>IF(C227="","",IFERROR(INDEX(Cost!$B$16:$B$18, MATCH("*" &amp; C227 &amp; "*", Cost!$A$2:$A$4, 0)), "Lỗi dữ liệu"))</f>
        <v>80000000</v>
      </c>
      <c r="H227" s="35">
        <v>1</v>
      </c>
      <c r="I227" s="40">
        <v>0</v>
      </c>
      <c r="J227" s="45"/>
      <c r="K227" s="47"/>
      <c r="L227" s="47"/>
      <c r="M227" s="47"/>
      <c r="N227" s="47"/>
      <c r="O227" s="47"/>
      <c r="P227" s="47"/>
      <c r="Q227" s="47"/>
      <c r="R227" s="47"/>
      <c r="S227" s="47"/>
      <c r="T227" s="47"/>
      <c r="U227" s="47"/>
      <c r="V227" s="47"/>
      <c r="W227" s="47"/>
      <c r="X227" s="47"/>
      <c r="Y227" s="47"/>
      <c r="Z227" s="47"/>
    </row>
    <row r="228" spans="1:26" ht="30" customHeight="1" x14ac:dyDescent="0.3">
      <c r="A228" s="55" t="s">
        <v>66</v>
      </c>
      <c r="B228" s="55" t="s">
        <v>126</v>
      </c>
      <c r="C228" s="20" t="s">
        <v>162</v>
      </c>
      <c r="D228" s="45">
        <v>25</v>
      </c>
      <c r="E228" s="86">
        <f t="array" ref="E228">IF(C228="","",IFERROR(INDEX(Cost!$B$2:$B$4, MATCH("*" &amp; C228 &amp; "*", Cost!$A$2:$A$4, 0)), "Lỗi dữ liệu"))</f>
        <v>1</v>
      </c>
      <c r="F228" s="39" cm="1">
        <f t="array" ref="F228">_xlfn.IFS( C228="Road",LOOKUP(D228,{0,50,150},Cost!$B$8:$B$10), C228="Barge",Cost!$B$11, C228="Rail",Cost!$B$12, TRUE,0 )</f>
        <v>800000</v>
      </c>
      <c r="G228" s="88">
        <f>IF(C228="","",IFERROR(INDEX(Cost!$B$16:$B$18, MATCH("*" &amp; C228 &amp; "*", Cost!$A$2:$A$4, 0)), "Lỗi dữ liệu"))</f>
        <v>6000000</v>
      </c>
      <c r="H228" s="35">
        <v>1</v>
      </c>
      <c r="I228" s="40">
        <v>0</v>
      </c>
      <c r="J228" s="45"/>
      <c r="K228" s="3"/>
      <c r="L228" s="3"/>
      <c r="M228" s="3"/>
      <c r="N228" s="3"/>
      <c r="O228" s="3"/>
      <c r="P228" s="3"/>
      <c r="Q228" s="3"/>
      <c r="R228" s="3"/>
      <c r="S228" s="3"/>
      <c r="T228" s="3"/>
      <c r="U228" s="3"/>
      <c r="V228" s="3"/>
      <c r="W228" s="3"/>
      <c r="X228" s="3"/>
      <c r="Y228" s="3"/>
      <c r="Z228" s="3"/>
    </row>
    <row r="229" spans="1:26" ht="30" customHeight="1" x14ac:dyDescent="0.3">
      <c r="A229" s="55" t="s">
        <v>66</v>
      </c>
      <c r="B229" s="55" t="s">
        <v>126</v>
      </c>
      <c r="C229" s="20" t="s">
        <v>152</v>
      </c>
      <c r="D229" s="45">
        <v>23</v>
      </c>
      <c r="E229" s="86">
        <f t="array" ref="E229">IF(C229="","",IFERROR(INDEX(Cost!$B$2:$B$4, MATCH("*" &amp; C229 &amp; "*", Cost!$A$2:$A$4, 0)), "Lỗi dữ liệu"))</f>
        <v>0.4</v>
      </c>
      <c r="F229" s="39" cm="1">
        <f t="array" ref="F229">_xlfn.IFS( C229="Road",LOOKUP(D229,{0,50,150},Cost!$B$8:$B$10), C229="Barge",Cost!$B$11, C229="Rail",Cost!$B$12, TRUE,0 )</f>
        <v>500000</v>
      </c>
      <c r="G229" s="88">
        <f>IF(C229="","",IFERROR(INDEX(Cost!$B$16:$B$18, MATCH("*" &amp; C229 &amp; "*", Cost!$A$2:$A$4, 0)), "Lỗi dữ liệu"))</f>
        <v>20000000</v>
      </c>
      <c r="H229" s="35">
        <v>1</v>
      </c>
      <c r="I229" s="40">
        <v>0</v>
      </c>
      <c r="J229" s="45"/>
      <c r="K229" s="3"/>
      <c r="L229" s="3"/>
      <c r="M229" s="3"/>
      <c r="N229" s="3"/>
      <c r="O229" s="3"/>
      <c r="P229" s="3"/>
      <c r="Q229" s="3"/>
      <c r="R229" s="3"/>
      <c r="S229" s="3"/>
      <c r="T229" s="3"/>
      <c r="U229" s="3"/>
      <c r="V229" s="3"/>
      <c r="W229" s="3"/>
      <c r="X229" s="3"/>
      <c r="Y229" s="3"/>
      <c r="Z229" s="3"/>
    </row>
    <row r="230" spans="1:26" ht="30" customHeight="1" x14ac:dyDescent="0.3">
      <c r="A230" s="55" t="s">
        <v>66</v>
      </c>
      <c r="B230" s="55" t="s">
        <v>126</v>
      </c>
      <c r="C230" s="20" t="s">
        <v>139</v>
      </c>
      <c r="D230" s="45">
        <v>28</v>
      </c>
      <c r="E230" s="86">
        <f t="array" ref="E230">IF(C230="","",IFERROR(INDEX(Cost!$B$2:$B$4, MATCH("*" &amp; C230 &amp; "*", Cost!$A$2:$A$4, 0)), "Lỗi dữ liệu"))</f>
        <v>0.25</v>
      </c>
      <c r="F230" s="39" cm="1">
        <f t="array" ref="F230">_xlfn.IFS( C230="Road",LOOKUP(D230,{0,50,150},Cost!$B$8:$B$10), C230="Barge",Cost!$B$11, C230="Rail",Cost!$B$12, TRUE,0 )</f>
        <v>1000000</v>
      </c>
      <c r="G230" s="88">
        <f>IF(C230="","",IFERROR(INDEX(Cost!$B$16:$B$18, MATCH("*" &amp; C230 &amp; "*", Cost!$A$2:$A$4, 0)), "Lỗi dữ liệu"))</f>
        <v>80000000</v>
      </c>
      <c r="H230" s="35">
        <v>1</v>
      </c>
      <c r="I230" s="40">
        <v>0</v>
      </c>
      <c r="J230" s="45"/>
      <c r="K230" s="3"/>
      <c r="L230" s="3"/>
      <c r="M230" s="3"/>
      <c r="N230" s="3"/>
      <c r="O230" s="3"/>
      <c r="P230" s="3"/>
      <c r="Q230" s="3"/>
      <c r="R230" s="3"/>
      <c r="S230" s="3"/>
      <c r="T230" s="3"/>
      <c r="U230" s="3"/>
      <c r="V230" s="3"/>
      <c r="W230" s="3"/>
      <c r="X230" s="3"/>
      <c r="Y230" s="3"/>
      <c r="Z230" s="3"/>
    </row>
    <row r="231" spans="1:26" ht="30" customHeight="1" x14ac:dyDescent="0.3">
      <c r="A231" s="56" t="s">
        <v>82</v>
      </c>
      <c r="B231" s="56" t="s">
        <v>24</v>
      </c>
      <c r="C231" s="20" t="s">
        <v>162</v>
      </c>
      <c r="D231" s="45">
        <v>112</v>
      </c>
      <c r="E231" s="86">
        <f t="array" ref="E231">IF(C231="","",IFERROR(INDEX(Cost!$B$2:$B$4, MATCH("*" &amp; C231 &amp; "*", Cost!$A$2:$A$4, 0)), "Lỗi dữ liệu"))</f>
        <v>1</v>
      </c>
      <c r="F231" s="39" cm="1">
        <f t="array" ref="F231">_xlfn.IFS( C231="Road",LOOKUP(D231,{0,50,150},Cost!$B$8:$B$10), C231="Barge",Cost!$B$11, C231="Rail",Cost!$B$12, TRUE,0 )</f>
        <v>500000</v>
      </c>
      <c r="G231" s="88">
        <f>IF(C231="","",IFERROR(INDEX(Cost!$B$16:$B$18, MATCH("*" &amp; C231 &amp; "*", Cost!$A$2:$A$4, 0)), "Lỗi dữ liệu"))</f>
        <v>6000000</v>
      </c>
      <c r="H231" s="35">
        <v>1</v>
      </c>
      <c r="I231" s="40">
        <v>1</v>
      </c>
      <c r="J231" s="45"/>
      <c r="K231" s="47"/>
      <c r="L231" s="47"/>
      <c r="M231" s="47"/>
      <c r="N231" s="47"/>
      <c r="O231" s="47"/>
      <c r="P231" s="47"/>
      <c r="Q231" s="47"/>
      <c r="R231" s="47"/>
      <c r="S231" s="47"/>
      <c r="T231" s="47"/>
      <c r="U231" s="47"/>
      <c r="V231" s="47"/>
      <c r="W231" s="47"/>
      <c r="X231" s="47"/>
      <c r="Y231" s="47"/>
      <c r="Z231" s="47"/>
    </row>
    <row r="232" spans="1:26" ht="30" customHeight="1" x14ac:dyDescent="0.3">
      <c r="A232" s="56" t="s">
        <v>82</v>
      </c>
      <c r="B232" s="56" t="s">
        <v>24</v>
      </c>
      <c r="C232" s="20" t="s">
        <v>152</v>
      </c>
      <c r="D232" s="45">
        <v>98</v>
      </c>
      <c r="E232" s="86">
        <f t="array" ref="E232">IF(C232="","",IFERROR(INDEX(Cost!$B$2:$B$4, MATCH("*" &amp; C232 &amp; "*", Cost!$A$2:$A$4, 0)), "Lỗi dữ liệu"))</f>
        <v>0.4</v>
      </c>
      <c r="F232" s="39" cm="1">
        <f t="array" ref="F232">_xlfn.IFS( C232="Road",LOOKUP(D232,{0,50,150},Cost!$B$8:$B$10), C232="Barge",Cost!$B$11, C232="Rail",Cost!$B$12, TRUE,0 )</f>
        <v>500000</v>
      </c>
      <c r="G232" s="88">
        <f>IF(C232="","",IFERROR(INDEX(Cost!$B$16:$B$18, MATCH("*" &amp; C232 &amp; "*", Cost!$A$2:$A$4, 0)), "Lỗi dữ liệu"))</f>
        <v>20000000</v>
      </c>
      <c r="H232" s="35">
        <v>1</v>
      </c>
      <c r="I232" s="40">
        <v>1</v>
      </c>
      <c r="J232" s="45"/>
      <c r="K232" s="47"/>
      <c r="L232" s="47"/>
      <c r="M232" s="47"/>
      <c r="N232" s="47"/>
      <c r="O232" s="47"/>
      <c r="P232" s="47"/>
      <c r="Q232" s="47"/>
      <c r="R232" s="47"/>
      <c r="S232" s="47"/>
      <c r="T232" s="47"/>
      <c r="U232" s="47"/>
      <c r="V232" s="47"/>
      <c r="W232" s="47"/>
      <c r="X232" s="47"/>
      <c r="Y232" s="47"/>
      <c r="Z232" s="47"/>
    </row>
    <row r="233" spans="1:26" ht="30" customHeight="1" x14ac:dyDescent="0.3">
      <c r="A233" s="56" t="s">
        <v>82</v>
      </c>
      <c r="B233" s="56" t="s">
        <v>24</v>
      </c>
      <c r="C233" s="20" t="s">
        <v>139</v>
      </c>
      <c r="D233" s="45">
        <v>118</v>
      </c>
      <c r="E233" s="86">
        <f t="array" ref="E233">IF(C233="","",IFERROR(INDEX(Cost!$B$2:$B$4, MATCH("*" &amp; C233 &amp; "*", Cost!$A$2:$A$4, 0)), "Lỗi dữ liệu"))</f>
        <v>0.25</v>
      </c>
      <c r="F233" s="39" cm="1">
        <f t="array" ref="F233">_xlfn.IFS( C233="Road",LOOKUP(D233,{0,50,150},Cost!$B$8:$B$10), C233="Barge",Cost!$B$11, C233="Rail",Cost!$B$12, TRUE,0 )</f>
        <v>1000000</v>
      </c>
      <c r="G233" s="88">
        <f>IF(C233="","",IFERROR(INDEX(Cost!$B$16:$B$18, MATCH("*" &amp; C233 &amp; "*", Cost!$A$2:$A$4, 0)), "Lỗi dữ liệu"))</f>
        <v>80000000</v>
      </c>
      <c r="H233" s="35">
        <v>1</v>
      </c>
      <c r="I233" s="40">
        <v>1</v>
      </c>
      <c r="J233" s="45"/>
      <c r="K233" s="47"/>
      <c r="L233" s="47"/>
      <c r="M233" s="47"/>
      <c r="N233" s="47"/>
      <c r="O233" s="47"/>
      <c r="P233" s="47"/>
      <c r="Q233" s="47"/>
      <c r="R233" s="47"/>
      <c r="S233" s="47"/>
      <c r="T233" s="47"/>
      <c r="U233" s="47"/>
      <c r="V233" s="47"/>
      <c r="W233" s="47"/>
      <c r="X233" s="47"/>
      <c r="Y233" s="47"/>
      <c r="Z233" s="47"/>
    </row>
    <row r="234" spans="1:26" ht="30" customHeight="1" x14ac:dyDescent="0.3">
      <c r="A234" s="56" t="s">
        <v>82</v>
      </c>
      <c r="B234" s="56" t="s">
        <v>11</v>
      </c>
      <c r="C234" s="37" t="s">
        <v>162</v>
      </c>
      <c r="D234" s="45">
        <v>92</v>
      </c>
      <c r="E234" s="86">
        <f t="array" ref="E234">IF(C234="","",IFERROR(INDEX(Cost!$B$2:$B$4, MATCH("*" &amp; C234 &amp; "*", Cost!$A$2:$A$4, 0)), "Lỗi dữ liệu"))</f>
        <v>1</v>
      </c>
      <c r="F234" s="39" cm="1">
        <f t="array" ref="F234">_xlfn.IFS( C234="Road",LOOKUP(D234,{0,50,150},Cost!$B$8:$B$10), C234="Barge",Cost!$B$11, C234="Rail",Cost!$B$12, TRUE,0 )</f>
        <v>500000</v>
      </c>
      <c r="G234" s="88">
        <f>IF(C234="","",IFERROR(INDEX(Cost!$B$16:$B$18, MATCH("*" &amp; C234 &amp; "*", Cost!$A$2:$A$4, 0)), "Lỗi dữ liệu"))</f>
        <v>6000000</v>
      </c>
      <c r="H234" s="35">
        <v>1</v>
      </c>
      <c r="I234" s="40">
        <v>0</v>
      </c>
      <c r="J234" s="45"/>
      <c r="K234" s="3"/>
      <c r="L234" s="3"/>
      <c r="M234" s="3"/>
      <c r="N234" s="3"/>
      <c r="O234" s="3"/>
      <c r="P234" s="3"/>
      <c r="Q234" s="3"/>
      <c r="R234" s="3"/>
      <c r="S234" s="3"/>
      <c r="T234" s="3"/>
      <c r="U234" s="3"/>
      <c r="V234" s="3"/>
      <c r="W234" s="3"/>
      <c r="X234" s="3"/>
      <c r="Y234" s="3"/>
      <c r="Z234" s="3"/>
    </row>
    <row r="235" spans="1:26" ht="30" customHeight="1" x14ac:dyDescent="0.3">
      <c r="A235" s="56" t="s">
        <v>82</v>
      </c>
      <c r="B235" s="56" t="s">
        <v>11</v>
      </c>
      <c r="C235" s="37" t="s">
        <v>152</v>
      </c>
      <c r="D235" s="45">
        <v>82</v>
      </c>
      <c r="E235" s="86">
        <f t="array" ref="E235">IF(C235="","",IFERROR(INDEX(Cost!$B$2:$B$4, MATCH("*" &amp; C235 &amp; "*", Cost!$A$2:$A$4, 0)), "Lỗi dữ liệu"))</f>
        <v>0.4</v>
      </c>
      <c r="F235" s="39" cm="1">
        <f t="array" ref="F235">_xlfn.IFS( C235="Road",LOOKUP(D235,{0,50,150},Cost!$B$8:$B$10), C235="Barge",Cost!$B$11, C235="Rail",Cost!$B$12, TRUE,0 )</f>
        <v>500000</v>
      </c>
      <c r="G235" s="88">
        <f>IF(C235="","",IFERROR(INDEX(Cost!$B$16:$B$18, MATCH("*" &amp; C235 &amp; "*", Cost!$A$2:$A$4, 0)), "Lỗi dữ liệu"))</f>
        <v>20000000</v>
      </c>
      <c r="H235" s="35">
        <v>1</v>
      </c>
      <c r="I235" s="40">
        <v>0</v>
      </c>
      <c r="J235" s="45"/>
      <c r="K235" s="3"/>
      <c r="L235" s="3"/>
      <c r="M235" s="3"/>
      <c r="N235" s="3"/>
      <c r="O235" s="3"/>
      <c r="P235" s="3"/>
      <c r="Q235" s="3"/>
      <c r="R235" s="3"/>
      <c r="S235" s="3"/>
      <c r="T235" s="3"/>
      <c r="U235" s="3"/>
      <c r="V235" s="3"/>
      <c r="W235" s="3"/>
      <c r="X235" s="3"/>
      <c r="Y235" s="3"/>
      <c r="Z235" s="3"/>
    </row>
    <row r="236" spans="1:26" ht="30" customHeight="1" x14ac:dyDescent="0.3">
      <c r="A236" s="56" t="s">
        <v>82</v>
      </c>
      <c r="B236" s="56" t="s">
        <v>11</v>
      </c>
      <c r="C236" s="37" t="s">
        <v>139</v>
      </c>
      <c r="D236" s="45">
        <v>100</v>
      </c>
      <c r="E236" s="86">
        <f t="array" ref="E236">IF(C236="","",IFERROR(INDEX(Cost!$B$2:$B$4, MATCH("*" &amp; C236 &amp; "*", Cost!$A$2:$A$4, 0)), "Lỗi dữ liệu"))</f>
        <v>0.25</v>
      </c>
      <c r="F236" s="39" cm="1">
        <f t="array" ref="F236">_xlfn.IFS( C236="Road",LOOKUP(D236,{0,50,150},Cost!$B$8:$B$10), C236="Barge",Cost!$B$11, C236="Rail",Cost!$B$12, TRUE,0 )</f>
        <v>1000000</v>
      </c>
      <c r="G236" s="88">
        <f>IF(C236="","",IFERROR(INDEX(Cost!$B$16:$B$18, MATCH("*" &amp; C236 &amp; "*", Cost!$A$2:$A$4, 0)), "Lỗi dữ liệu"))</f>
        <v>80000000</v>
      </c>
      <c r="H236" s="35">
        <v>1</v>
      </c>
      <c r="I236" s="40">
        <v>0</v>
      </c>
      <c r="J236" s="45"/>
      <c r="K236" s="3"/>
      <c r="L236" s="3"/>
      <c r="M236" s="3"/>
      <c r="N236" s="3"/>
      <c r="O236" s="3"/>
      <c r="P236" s="3"/>
      <c r="Q236" s="3"/>
      <c r="R236" s="3"/>
      <c r="S236" s="3"/>
      <c r="T236" s="3"/>
      <c r="U236" s="3"/>
      <c r="V236" s="3"/>
      <c r="W236" s="3"/>
      <c r="X236" s="3"/>
      <c r="Y236" s="3"/>
      <c r="Z236" s="3"/>
    </row>
    <row r="237" spans="1:26" ht="30" customHeight="1" x14ac:dyDescent="0.3">
      <c r="A237" s="56" t="s">
        <v>82</v>
      </c>
      <c r="B237" s="56" t="s">
        <v>17</v>
      </c>
      <c r="C237" s="37" t="s">
        <v>162</v>
      </c>
      <c r="D237" s="45">
        <v>98</v>
      </c>
      <c r="E237" s="86">
        <f t="array" ref="E237">IF(C237="","",IFERROR(INDEX(Cost!$B$2:$B$4, MATCH("*" &amp; C237 &amp; "*", Cost!$A$2:$A$4, 0)), "Lỗi dữ liệu"))</f>
        <v>1</v>
      </c>
      <c r="F237" s="39" cm="1">
        <f t="array" ref="F237">_xlfn.IFS( C237="Road",LOOKUP(D237,{0,50,150},Cost!$B$8:$B$10), C237="Barge",Cost!$B$11, C237="Rail",Cost!$B$12, TRUE,0 )</f>
        <v>500000</v>
      </c>
      <c r="G237" s="88">
        <f>IF(C237="","",IFERROR(INDEX(Cost!$B$16:$B$18, MATCH("*" &amp; C237 &amp; "*", Cost!$A$2:$A$4, 0)), "Lỗi dữ liệu"))</f>
        <v>6000000</v>
      </c>
      <c r="H237" s="35">
        <v>1</v>
      </c>
      <c r="I237" s="40">
        <v>0</v>
      </c>
      <c r="J237" s="45"/>
      <c r="K237" s="47"/>
      <c r="L237" s="47"/>
      <c r="M237" s="47"/>
      <c r="N237" s="47"/>
      <c r="O237" s="47"/>
      <c r="P237" s="47"/>
      <c r="Q237" s="47"/>
      <c r="R237" s="47"/>
      <c r="S237" s="47"/>
      <c r="T237" s="47"/>
      <c r="U237" s="47"/>
      <c r="V237" s="47"/>
      <c r="W237" s="47"/>
      <c r="X237" s="47"/>
      <c r="Y237" s="47"/>
      <c r="Z237" s="47"/>
    </row>
    <row r="238" spans="1:26" ht="30" customHeight="1" x14ac:dyDescent="0.3">
      <c r="A238" s="56" t="s">
        <v>82</v>
      </c>
      <c r="B238" s="56" t="s">
        <v>17</v>
      </c>
      <c r="C238" s="37" t="s">
        <v>152</v>
      </c>
      <c r="D238" s="45">
        <v>83</v>
      </c>
      <c r="E238" s="86">
        <f t="array" ref="E238">IF(C238="","",IFERROR(INDEX(Cost!$B$2:$B$4, MATCH("*" &amp; C238 &amp; "*", Cost!$A$2:$A$4, 0)), "Lỗi dữ liệu"))</f>
        <v>0.4</v>
      </c>
      <c r="F238" s="39" cm="1">
        <f t="array" ref="F238">_xlfn.IFS( C238="Road",LOOKUP(D238,{0,50,150},Cost!$B$8:$B$10), C238="Barge",Cost!$B$11, C238="Rail",Cost!$B$12, TRUE,0 )</f>
        <v>500000</v>
      </c>
      <c r="G238" s="88">
        <f>IF(C238="","",IFERROR(INDEX(Cost!$B$16:$B$18, MATCH("*" &amp; C238 &amp; "*", Cost!$A$2:$A$4, 0)), "Lỗi dữ liệu"))</f>
        <v>20000000</v>
      </c>
      <c r="H238" s="35">
        <v>1</v>
      </c>
      <c r="I238" s="40">
        <v>0</v>
      </c>
      <c r="J238" s="45"/>
      <c r="K238" s="47"/>
      <c r="L238" s="47"/>
      <c r="M238" s="47"/>
      <c r="N238" s="47"/>
      <c r="O238" s="47"/>
      <c r="P238" s="47"/>
      <c r="Q238" s="47"/>
      <c r="R238" s="47"/>
      <c r="S238" s="47"/>
      <c r="T238" s="47"/>
      <c r="U238" s="47"/>
      <c r="V238" s="47"/>
      <c r="W238" s="47"/>
      <c r="X238" s="47"/>
      <c r="Y238" s="47"/>
      <c r="Z238" s="47"/>
    </row>
    <row r="239" spans="1:26" ht="30" customHeight="1" x14ac:dyDescent="0.3">
      <c r="A239" s="56" t="s">
        <v>82</v>
      </c>
      <c r="B239" s="56" t="s">
        <v>17</v>
      </c>
      <c r="C239" s="37" t="s">
        <v>139</v>
      </c>
      <c r="D239" s="45">
        <v>94</v>
      </c>
      <c r="E239" s="86">
        <f t="array" ref="E239">IF(C239="","",IFERROR(INDEX(Cost!$B$2:$B$4, MATCH("*" &amp; C239 &amp; "*", Cost!$A$2:$A$4, 0)), "Lỗi dữ liệu"))</f>
        <v>0.25</v>
      </c>
      <c r="F239" s="39" cm="1">
        <f t="array" ref="F239">_xlfn.IFS( C239="Road",LOOKUP(D239,{0,50,150},Cost!$B$8:$B$10), C239="Barge",Cost!$B$11, C239="Rail",Cost!$B$12, TRUE,0 )</f>
        <v>1000000</v>
      </c>
      <c r="G239" s="88">
        <f>IF(C239="","",IFERROR(INDEX(Cost!$B$16:$B$18, MATCH("*" &amp; C239 &amp; "*", Cost!$A$2:$A$4, 0)), "Lỗi dữ liệu"))</f>
        <v>80000000</v>
      </c>
      <c r="H239" s="35">
        <v>1</v>
      </c>
      <c r="I239" s="40">
        <v>0</v>
      </c>
      <c r="J239" s="45"/>
      <c r="K239" s="47"/>
      <c r="L239" s="47"/>
      <c r="M239" s="47"/>
      <c r="N239" s="47"/>
      <c r="O239" s="47"/>
      <c r="P239" s="47"/>
      <c r="Q239" s="47"/>
      <c r="R239" s="47"/>
      <c r="S239" s="47"/>
      <c r="T239" s="47"/>
      <c r="U239" s="47"/>
      <c r="V239" s="47"/>
      <c r="W239" s="47"/>
      <c r="X239" s="47"/>
      <c r="Y239" s="47"/>
      <c r="Z239" s="47"/>
    </row>
    <row r="240" spans="1:26" ht="30" customHeight="1" x14ac:dyDescent="0.3">
      <c r="A240" s="56" t="s">
        <v>82</v>
      </c>
      <c r="B240" s="56" t="s">
        <v>29</v>
      </c>
      <c r="C240" s="20" t="s">
        <v>162</v>
      </c>
      <c r="D240" s="45">
        <v>90</v>
      </c>
      <c r="E240" s="86">
        <f t="array" ref="E240">IF(C240="","",IFERROR(INDEX(Cost!$B$2:$B$4, MATCH("*" &amp; C240 &amp; "*", Cost!$A$2:$A$4, 0)), "Lỗi dữ liệu"))</f>
        <v>1</v>
      </c>
      <c r="F240" s="39" cm="1">
        <f t="array" ref="F240">_xlfn.IFS( C240="Road",LOOKUP(D240,{0,50,150},Cost!$B$8:$B$10), C240="Barge",Cost!$B$11, C240="Rail",Cost!$B$12, TRUE,0 )</f>
        <v>500000</v>
      </c>
      <c r="G240" s="88">
        <f>IF(C240="","",IFERROR(INDEX(Cost!$B$16:$B$18, MATCH("*" &amp; C240 &amp; "*", Cost!$A$2:$A$4, 0)), "Lỗi dữ liệu"))</f>
        <v>6000000</v>
      </c>
      <c r="H240" s="35">
        <v>1</v>
      </c>
      <c r="I240" s="40">
        <v>0</v>
      </c>
      <c r="J240" s="45"/>
      <c r="K240" s="3"/>
      <c r="L240" s="3"/>
      <c r="M240" s="3"/>
      <c r="N240" s="3"/>
      <c r="O240" s="3"/>
      <c r="P240" s="3"/>
      <c r="Q240" s="3"/>
      <c r="R240" s="3"/>
      <c r="S240" s="3"/>
      <c r="T240" s="3"/>
      <c r="U240" s="3"/>
      <c r="V240" s="3"/>
      <c r="W240" s="3"/>
      <c r="X240" s="3"/>
      <c r="Y240" s="3"/>
      <c r="Z240" s="3"/>
    </row>
    <row r="241" spans="1:26" ht="30" customHeight="1" x14ac:dyDescent="0.3">
      <c r="A241" s="56" t="s">
        <v>82</v>
      </c>
      <c r="B241" s="56" t="s">
        <v>29</v>
      </c>
      <c r="C241" s="37" t="s">
        <v>152</v>
      </c>
      <c r="D241" s="45">
        <v>78</v>
      </c>
      <c r="E241" s="86">
        <f t="array" ref="E241">IF(C241="","",IFERROR(INDEX(Cost!$B$2:$B$4, MATCH("*" &amp; C241 &amp; "*", Cost!$A$2:$A$4, 0)), "Lỗi dữ liệu"))</f>
        <v>0.4</v>
      </c>
      <c r="F241" s="39" cm="1">
        <f t="array" ref="F241">_xlfn.IFS( C241="Road",LOOKUP(D241,{0,50,150},Cost!$B$8:$B$10), C241="Barge",Cost!$B$11, C241="Rail",Cost!$B$12, TRUE,0 )</f>
        <v>500000</v>
      </c>
      <c r="G241" s="88">
        <f>IF(C241="","",IFERROR(INDEX(Cost!$B$16:$B$18, MATCH("*" &amp; C241 &amp; "*", Cost!$A$2:$A$4, 0)), "Lỗi dữ liệu"))</f>
        <v>20000000</v>
      </c>
      <c r="H241" s="35">
        <v>1</v>
      </c>
      <c r="I241" s="40">
        <v>0</v>
      </c>
      <c r="J241" s="45"/>
      <c r="K241" s="3"/>
      <c r="L241" s="3"/>
      <c r="M241" s="3"/>
      <c r="N241" s="3"/>
      <c r="O241" s="3"/>
      <c r="P241" s="3"/>
      <c r="Q241" s="3"/>
      <c r="R241" s="3"/>
      <c r="S241" s="3"/>
      <c r="T241" s="3"/>
      <c r="U241" s="3"/>
      <c r="V241" s="3"/>
      <c r="W241" s="3"/>
      <c r="X241" s="3"/>
      <c r="Y241" s="3"/>
      <c r="Z241" s="3"/>
    </row>
    <row r="242" spans="1:26" ht="30" customHeight="1" x14ac:dyDescent="0.3">
      <c r="A242" s="56" t="s">
        <v>82</v>
      </c>
      <c r="B242" s="56" t="s">
        <v>29</v>
      </c>
      <c r="C242" s="20" t="s">
        <v>139</v>
      </c>
      <c r="D242" s="45">
        <v>93</v>
      </c>
      <c r="E242" s="86">
        <f t="array" ref="E242">IF(C242="","",IFERROR(INDEX(Cost!$B$2:$B$4, MATCH("*" &amp; C242 &amp; "*", Cost!$A$2:$A$4, 0)), "Lỗi dữ liệu"))</f>
        <v>0.25</v>
      </c>
      <c r="F242" s="39" cm="1">
        <f t="array" ref="F242">_xlfn.IFS( C242="Road",LOOKUP(D242,{0,50,150},Cost!$B$8:$B$10), C242="Barge",Cost!$B$11, C242="Rail",Cost!$B$12, TRUE,0 )</f>
        <v>1000000</v>
      </c>
      <c r="G242" s="88">
        <f>IF(C242="","",IFERROR(INDEX(Cost!$B$16:$B$18, MATCH("*" &amp; C242 &amp; "*", Cost!$A$2:$A$4, 0)), "Lỗi dữ liệu"))</f>
        <v>80000000</v>
      </c>
      <c r="H242" s="35">
        <v>1</v>
      </c>
      <c r="I242" s="40">
        <v>0</v>
      </c>
      <c r="J242" s="45"/>
      <c r="K242" s="3"/>
      <c r="L242" s="3"/>
      <c r="M242" s="3"/>
      <c r="N242" s="3"/>
      <c r="O242" s="3"/>
      <c r="P242" s="3"/>
      <c r="Q242" s="3"/>
      <c r="R242" s="3"/>
      <c r="S242" s="3"/>
      <c r="T242" s="3"/>
      <c r="U242" s="3"/>
      <c r="V242" s="3"/>
      <c r="W242" s="3"/>
      <c r="X242" s="3"/>
      <c r="Y242" s="3"/>
      <c r="Z242" s="3"/>
    </row>
    <row r="243" spans="1:26" ht="30" customHeight="1" x14ac:dyDescent="0.3">
      <c r="A243" s="56" t="s">
        <v>82</v>
      </c>
      <c r="B243" s="56" t="s">
        <v>49</v>
      </c>
      <c r="C243" s="20" t="s">
        <v>162</v>
      </c>
      <c r="D243" s="45">
        <v>22</v>
      </c>
      <c r="E243" s="86">
        <f t="array" ref="E243">IF(C243="","",IFERROR(INDEX(Cost!$B$2:$B$4, MATCH("*" &amp; C243 &amp; "*", Cost!$A$2:$A$4, 0)), "Lỗi dữ liệu"))</f>
        <v>1</v>
      </c>
      <c r="F243" s="39" cm="1">
        <f t="array" ref="F243">_xlfn.IFS( C243="Road",LOOKUP(D243,{0,50,150},Cost!$B$8:$B$10), C243="Barge",Cost!$B$11, C243="Rail",Cost!$B$12, TRUE,0 )</f>
        <v>800000</v>
      </c>
      <c r="G243" s="88">
        <f>IF(C243="","",IFERROR(INDEX(Cost!$B$16:$B$18, MATCH("*" &amp; C243 &amp; "*", Cost!$A$2:$A$4, 0)), "Lỗi dữ liệu"))</f>
        <v>6000000</v>
      </c>
      <c r="H243" s="35">
        <v>1</v>
      </c>
      <c r="I243" s="40">
        <v>0</v>
      </c>
      <c r="J243" s="45"/>
      <c r="K243" s="47"/>
      <c r="L243" s="47"/>
      <c r="M243" s="47"/>
      <c r="N243" s="47"/>
      <c r="O243" s="47"/>
      <c r="P243" s="47"/>
      <c r="Q243" s="47"/>
      <c r="R243" s="47"/>
      <c r="S243" s="47"/>
      <c r="T243" s="47"/>
      <c r="U243" s="47"/>
      <c r="V243" s="47"/>
      <c r="W243" s="47"/>
      <c r="X243" s="47"/>
      <c r="Y243" s="47"/>
      <c r="Z243" s="47"/>
    </row>
    <row r="244" spans="1:26" ht="30" customHeight="1" x14ac:dyDescent="0.3">
      <c r="A244" s="56" t="s">
        <v>82</v>
      </c>
      <c r="B244" s="56" t="s">
        <v>49</v>
      </c>
      <c r="C244" s="20" t="s">
        <v>152</v>
      </c>
      <c r="D244" s="45">
        <v>18</v>
      </c>
      <c r="E244" s="86">
        <f t="array" ref="E244">IF(C244="","",IFERROR(INDEX(Cost!$B$2:$B$4, MATCH("*" &amp; C244 &amp; "*", Cost!$A$2:$A$4, 0)), "Lỗi dữ liệu"))</f>
        <v>0.4</v>
      </c>
      <c r="F244" s="39" cm="1">
        <f t="array" ref="F244">_xlfn.IFS( C244="Road",LOOKUP(D244,{0,50,150},Cost!$B$8:$B$10), C244="Barge",Cost!$B$11, C244="Rail",Cost!$B$12, TRUE,0 )</f>
        <v>500000</v>
      </c>
      <c r="G244" s="88">
        <f>IF(C244="","",IFERROR(INDEX(Cost!$B$16:$B$18, MATCH("*" &amp; C244 &amp; "*", Cost!$A$2:$A$4, 0)), "Lỗi dữ liệu"))</f>
        <v>20000000</v>
      </c>
      <c r="H244" s="35">
        <v>1</v>
      </c>
      <c r="I244" s="40">
        <v>0</v>
      </c>
      <c r="J244" s="45"/>
      <c r="K244" s="47"/>
      <c r="L244" s="47"/>
      <c r="M244" s="47"/>
      <c r="N244" s="47"/>
      <c r="O244" s="47"/>
      <c r="P244" s="47"/>
      <c r="Q244" s="47"/>
      <c r="R244" s="47"/>
      <c r="S244" s="47"/>
      <c r="T244" s="47"/>
      <c r="U244" s="47"/>
      <c r="V244" s="47"/>
      <c r="W244" s="47"/>
      <c r="X244" s="47"/>
      <c r="Y244" s="47"/>
      <c r="Z244" s="47"/>
    </row>
    <row r="245" spans="1:26" ht="30" customHeight="1" x14ac:dyDescent="0.3">
      <c r="A245" s="56" t="s">
        <v>82</v>
      </c>
      <c r="B245" s="56" t="s">
        <v>49</v>
      </c>
      <c r="C245" s="20" t="s">
        <v>139</v>
      </c>
      <c r="D245" s="45">
        <v>24</v>
      </c>
      <c r="E245" s="86">
        <f t="array" ref="E245">IF(C245="","",IFERROR(INDEX(Cost!$B$2:$B$4, MATCH("*" &amp; C245 &amp; "*", Cost!$A$2:$A$4, 0)), "Lỗi dữ liệu"))</f>
        <v>0.25</v>
      </c>
      <c r="F245" s="39" cm="1">
        <f t="array" ref="F245">_xlfn.IFS( C245="Road",LOOKUP(D245,{0,50,150},Cost!$B$8:$B$10), C245="Barge",Cost!$B$11, C245="Rail",Cost!$B$12, TRUE,0 )</f>
        <v>1000000</v>
      </c>
      <c r="G245" s="88">
        <f>IF(C245="","",IFERROR(INDEX(Cost!$B$16:$B$18, MATCH("*" &amp; C245 &amp; "*", Cost!$A$2:$A$4, 0)), "Lỗi dữ liệu"))</f>
        <v>80000000</v>
      </c>
      <c r="H245" s="35">
        <v>1</v>
      </c>
      <c r="I245" s="40">
        <v>0</v>
      </c>
      <c r="J245" s="45"/>
      <c r="K245" s="47"/>
      <c r="L245" s="47"/>
      <c r="M245" s="47"/>
      <c r="N245" s="47"/>
      <c r="O245" s="47"/>
      <c r="P245" s="47"/>
      <c r="Q245" s="47"/>
      <c r="R245" s="47"/>
      <c r="S245" s="47"/>
      <c r="T245" s="47"/>
      <c r="U245" s="47"/>
      <c r="V245" s="47"/>
      <c r="W245" s="47"/>
      <c r="X245" s="47"/>
      <c r="Y245" s="47"/>
      <c r="Z245" s="47"/>
    </row>
    <row r="246" spans="1:26" ht="30" customHeight="1" x14ac:dyDescent="0.3">
      <c r="A246" s="56" t="s">
        <v>82</v>
      </c>
      <c r="B246" s="56" t="s">
        <v>58</v>
      </c>
      <c r="C246" s="37" t="s">
        <v>162</v>
      </c>
      <c r="D246" s="45">
        <v>21</v>
      </c>
      <c r="E246" s="86">
        <f t="array" ref="E246">IF(C246="","",IFERROR(INDEX(Cost!$B$2:$B$4, MATCH("*" &amp; C246 &amp; "*", Cost!$A$2:$A$4, 0)), "Lỗi dữ liệu"))</f>
        <v>1</v>
      </c>
      <c r="F246" s="39" cm="1">
        <f t="array" ref="F246">_xlfn.IFS( C246="Road",LOOKUP(D246,{0,50,150},Cost!$B$8:$B$10), C246="Barge",Cost!$B$11, C246="Rail",Cost!$B$12, TRUE,0 )</f>
        <v>800000</v>
      </c>
      <c r="G246" s="88">
        <f>IF(C246="","",IFERROR(INDEX(Cost!$B$16:$B$18, MATCH("*" &amp; C246 &amp; "*", Cost!$A$2:$A$4, 0)), "Lỗi dữ liệu"))</f>
        <v>6000000</v>
      </c>
      <c r="H246" s="35">
        <v>1</v>
      </c>
      <c r="I246" s="40">
        <v>0</v>
      </c>
      <c r="J246" s="45"/>
      <c r="K246" s="3"/>
      <c r="L246" s="3"/>
      <c r="M246" s="3"/>
      <c r="N246" s="3"/>
      <c r="O246" s="3"/>
      <c r="P246" s="3"/>
      <c r="Q246" s="3"/>
      <c r="R246" s="3"/>
      <c r="S246" s="3"/>
      <c r="T246" s="3"/>
      <c r="U246" s="3"/>
      <c r="V246" s="3"/>
      <c r="W246" s="3"/>
      <c r="X246" s="3"/>
      <c r="Y246" s="3"/>
      <c r="Z246" s="3"/>
    </row>
    <row r="247" spans="1:26" ht="30" customHeight="1" x14ac:dyDescent="0.3">
      <c r="A247" s="56" t="s">
        <v>82</v>
      </c>
      <c r="B247" s="56" t="s">
        <v>58</v>
      </c>
      <c r="C247" s="20" t="s">
        <v>152</v>
      </c>
      <c r="D247" s="45">
        <v>19</v>
      </c>
      <c r="E247" s="86">
        <f t="array" ref="E247">IF(C247="","",IFERROR(INDEX(Cost!$B$2:$B$4, MATCH("*" &amp; C247 &amp; "*", Cost!$A$2:$A$4, 0)), "Lỗi dữ liệu"))</f>
        <v>0.4</v>
      </c>
      <c r="F247" s="39" cm="1">
        <f t="array" ref="F247">_xlfn.IFS( C247="Road",LOOKUP(D247,{0,50,150},Cost!$B$8:$B$10), C247="Barge",Cost!$B$11, C247="Rail",Cost!$B$12, TRUE,0 )</f>
        <v>500000</v>
      </c>
      <c r="G247" s="88">
        <f>IF(C247="","",IFERROR(INDEX(Cost!$B$16:$B$18, MATCH("*" &amp; C247 &amp; "*", Cost!$A$2:$A$4, 0)), "Lỗi dữ liệu"))</f>
        <v>20000000</v>
      </c>
      <c r="H247" s="35">
        <v>1</v>
      </c>
      <c r="I247" s="40">
        <v>0</v>
      </c>
      <c r="J247" s="45"/>
      <c r="K247" s="3"/>
      <c r="L247" s="3"/>
      <c r="M247" s="3"/>
      <c r="N247" s="3"/>
      <c r="O247" s="3"/>
      <c r="P247" s="3"/>
      <c r="Q247" s="3"/>
      <c r="R247" s="3"/>
      <c r="S247" s="3"/>
      <c r="T247" s="3"/>
      <c r="U247" s="3"/>
      <c r="V247" s="3"/>
      <c r="W247" s="3"/>
      <c r="X247" s="3"/>
      <c r="Y247" s="3"/>
      <c r="Z247" s="3"/>
    </row>
    <row r="248" spans="1:26" ht="30" customHeight="1" x14ac:dyDescent="0.3">
      <c r="A248" s="56" t="s">
        <v>82</v>
      </c>
      <c r="B248" s="56" t="s">
        <v>58</v>
      </c>
      <c r="C248" s="37" t="s">
        <v>139</v>
      </c>
      <c r="D248" s="45">
        <v>23</v>
      </c>
      <c r="E248" s="86">
        <f t="array" ref="E248">IF(C248="","",IFERROR(INDEX(Cost!$B$2:$B$4, MATCH("*" &amp; C248 &amp; "*", Cost!$A$2:$A$4, 0)), "Lỗi dữ liệu"))</f>
        <v>0.25</v>
      </c>
      <c r="F248" s="39" cm="1">
        <f t="array" ref="F248">_xlfn.IFS( C248="Road",LOOKUP(D248,{0,50,150},Cost!$B$8:$B$10), C248="Barge",Cost!$B$11, C248="Rail",Cost!$B$12, TRUE,0 )</f>
        <v>1000000</v>
      </c>
      <c r="G248" s="88">
        <f>IF(C248="","",IFERROR(INDEX(Cost!$B$16:$B$18, MATCH("*" &amp; C248 &amp; "*", Cost!$A$2:$A$4, 0)), "Lỗi dữ liệu"))</f>
        <v>80000000</v>
      </c>
      <c r="H248" s="35">
        <v>1</v>
      </c>
      <c r="I248" s="40">
        <v>0</v>
      </c>
      <c r="J248" s="45"/>
      <c r="K248" s="3"/>
      <c r="L248" s="3"/>
      <c r="M248" s="3"/>
      <c r="N248" s="3"/>
      <c r="O248" s="3"/>
      <c r="P248" s="3"/>
      <c r="Q248" s="3"/>
      <c r="R248" s="3"/>
      <c r="S248" s="3"/>
      <c r="T248" s="3"/>
      <c r="U248" s="3"/>
      <c r="V248" s="3"/>
      <c r="W248" s="3"/>
      <c r="X248" s="3"/>
      <c r="Y248" s="3"/>
      <c r="Z248" s="3"/>
    </row>
    <row r="249" spans="1:26" ht="30" customHeight="1" x14ac:dyDescent="0.3">
      <c r="A249" s="56" t="s">
        <v>82</v>
      </c>
      <c r="B249" s="56" t="s">
        <v>63</v>
      </c>
      <c r="C249" s="20" t="s">
        <v>162</v>
      </c>
      <c r="D249" s="45">
        <v>28</v>
      </c>
      <c r="E249" s="86">
        <f t="array" ref="E249">IF(C249="","",IFERROR(INDEX(Cost!$B$2:$B$4, MATCH("*" &amp; C249 &amp; "*", Cost!$A$2:$A$4, 0)), "Lỗi dữ liệu"))</f>
        <v>1</v>
      </c>
      <c r="F249" s="39" cm="1">
        <f t="array" ref="F249">_xlfn.IFS( C249="Road",LOOKUP(D249,{0,50,150},Cost!$B$8:$B$10), C249="Barge",Cost!$B$11, C249="Rail",Cost!$B$12, TRUE,0 )</f>
        <v>800000</v>
      </c>
      <c r="G249" s="88">
        <f>IF(C249="","",IFERROR(INDEX(Cost!$B$16:$B$18, MATCH("*" &amp; C249 &amp; "*", Cost!$A$2:$A$4, 0)), "Lỗi dữ liệu"))</f>
        <v>6000000</v>
      </c>
      <c r="H249" s="35">
        <v>1</v>
      </c>
      <c r="I249" s="40">
        <v>0</v>
      </c>
      <c r="J249" s="45"/>
      <c r="K249" s="47"/>
      <c r="L249" s="47"/>
      <c r="M249" s="47"/>
      <c r="N249" s="47"/>
      <c r="O249" s="47"/>
      <c r="P249" s="47"/>
      <c r="Q249" s="47"/>
      <c r="R249" s="47"/>
      <c r="S249" s="47"/>
      <c r="T249" s="47"/>
      <c r="U249" s="47"/>
      <c r="V249" s="47"/>
      <c r="W249" s="47"/>
      <c r="X249" s="47"/>
      <c r="Y249" s="47"/>
      <c r="Z249" s="47"/>
    </row>
    <row r="250" spans="1:26" ht="30" customHeight="1" x14ac:dyDescent="0.3">
      <c r="A250" s="56" t="s">
        <v>82</v>
      </c>
      <c r="B250" s="56" t="s">
        <v>63</v>
      </c>
      <c r="C250" s="37" t="s">
        <v>152</v>
      </c>
      <c r="D250" s="45">
        <v>24</v>
      </c>
      <c r="E250" s="86">
        <f t="array" ref="E250">IF(C250="","",IFERROR(INDEX(Cost!$B$2:$B$4, MATCH("*" &amp; C250 &amp; "*", Cost!$A$2:$A$4, 0)), "Lỗi dữ liệu"))</f>
        <v>0.4</v>
      </c>
      <c r="F250" s="39" cm="1">
        <f t="array" ref="F250">_xlfn.IFS( C250="Road",LOOKUP(D250,{0,50,150},Cost!$B$8:$B$10), C250="Barge",Cost!$B$11, C250="Rail",Cost!$B$12, TRUE,0 )</f>
        <v>500000</v>
      </c>
      <c r="G250" s="88">
        <f>IF(C250="","",IFERROR(INDEX(Cost!$B$16:$B$18, MATCH("*" &amp; C250 &amp; "*", Cost!$A$2:$A$4, 0)), "Lỗi dữ liệu"))</f>
        <v>20000000</v>
      </c>
      <c r="H250" s="35">
        <v>1</v>
      </c>
      <c r="I250" s="40">
        <v>0</v>
      </c>
      <c r="J250" s="45"/>
      <c r="K250" s="47"/>
      <c r="L250" s="47"/>
      <c r="M250" s="47"/>
      <c r="N250" s="47"/>
      <c r="O250" s="47"/>
      <c r="P250" s="47"/>
      <c r="Q250" s="47"/>
      <c r="R250" s="47"/>
      <c r="S250" s="47"/>
      <c r="T250" s="47"/>
      <c r="U250" s="47"/>
      <c r="V250" s="47"/>
      <c r="W250" s="47"/>
      <c r="X250" s="47"/>
      <c r="Y250" s="47"/>
      <c r="Z250" s="47"/>
    </row>
    <row r="251" spans="1:26" ht="30" customHeight="1" x14ac:dyDescent="0.3">
      <c r="A251" s="56" t="s">
        <v>82</v>
      </c>
      <c r="B251" s="56" t="s">
        <v>63</v>
      </c>
      <c r="C251" s="37" t="s">
        <v>139</v>
      </c>
      <c r="D251" s="45">
        <v>29</v>
      </c>
      <c r="E251" s="86">
        <f t="array" ref="E251">IF(C251="","",IFERROR(INDEX(Cost!$B$2:$B$4, MATCH("*" &amp; C251 &amp; "*", Cost!$A$2:$A$4, 0)), "Lỗi dữ liệu"))</f>
        <v>0.25</v>
      </c>
      <c r="F251" s="39" cm="1">
        <f t="array" ref="F251">_xlfn.IFS( C251="Road",LOOKUP(D251,{0,50,150},Cost!$B$8:$B$10), C251="Barge",Cost!$B$11, C251="Rail",Cost!$B$12, TRUE,0 )</f>
        <v>1000000</v>
      </c>
      <c r="G251" s="88">
        <f>IF(C251="","",IFERROR(INDEX(Cost!$B$16:$B$18, MATCH("*" &amp; C251 &amp; "*", Cost!$A$2:$A$4, 0)), "Lỗi dữ liệu"))</f>
        <v>80000000</v>
      </c>
      <c r="H251" s="35">
        <v>1</v>
      </c>
      <c r="I251" s="40">
        <v>0</v>
      </c>
      <c r="J251" s="45"/>
      <c r="K251" s="47"/>
      <c r="L251" s="47"/>
      <c r="M251" s="47"/>
      <c r="N251" s="47"/>
      <c r="O251" s="47"/>
      <c r="P251" s="47"/>
      <c r="Q251" s="47"/>
      <c r="R251" s="47"/>
      <c r="S251" s="47"/>
      <c r="T251" s="47"/>
      <c r="U251" s="47"/>
      <c r="V251" s="47"/>
      <c r="W251" s="47"/>
      <c r="X251" s="47"/>
      <c r="Y251" s="47"/>
      <c r="Z251" s="47"/>
    </row>
    <row r="252" spans="1:26" ht="30" customHeight="1" x14ac:dyDescent="0.3">
      <c r="A252" s="56" t="s">
        <v>82</v>
      </c>
      <c r="B252" s="56" t="s">
        <v>66</v>
      </c>
      <c r="C252" s="20" t="s">
        <v>162</v>
      </c>
      <c r="D252" s="45">
        <v>32</v>
      </c>
      <c r="E252" s="86">
        <f t="array" ref="E252">IF(C252="","",IFERROR(INDEX(Cost!$B$2:$B$4, MATCH("*" &amp; C252 &amp; "*", Cost!$A$2:$A$4, 0)), "Lỗi dữ liệu"))</f>
        <v>1</v>
      </c>
      <c r="F252" s="39" cm="1">
        <f t="array" ref="F252">_xlfn.IFS( C252="Road",LOOKUP(D252,{0,50,150},Cost!$B$8:$B$10), C252="Barge",Cost!$B$11, C252="Rail",Cost!$B$12, TRUE,0 )</f>
        <v>800000</v>
      </c>
      <c r="G252" s="88">
        <f>IF(C252="","",IFERROR(INDEX(Cost!$B$16:$B$18, MATCH("*" &amp; C252 &amp; "*", Cost!$A$2:$A$4, 0)), "Lỗi dữ liệu"))</f>
        <v>6000000</v>
      </c>
      <c r="H252" s="35">
        <v>1</v>
      </c>
      <c r="I252" s="40">
        <v>0</v>
      </c>
      <c r="J252" s="45"/>
      <c r="K252" s="3"/>
      <c r="L252" s="3"/>
      <c r="M252" s="3"/>
      <c r="N252" s="3"/>
      <c r="O252" s="3"/>
      <c r="P252" s="3"/>
      <c r="Q252" s="3"/>
      <c r="R252" s="3"/>
      <c r="S252" s="3"/>
      <c r="T252" s="3"/>
      <c r="U252" s="3"/>
      <c r="V252" s="3"/>
      <c r="W252" s="3"/>
      <c r="X252" s="3"/>
      <c r="Y252" s="3"/>
      <c r="Z252" s="3"/>
    </row>
    <row r="253" spans="1:26" ht="30" customHeight="1" x14ac:dyDescent="0.3">
      <c r="A253" s="56" t="s">
        <v>82</v>
      </c>
      <c r="B253" s="56" t="s">
        <v>66</v>
      </c>
      <c r="C253" s="20" t="s">
        <v>152</v>
      </c>
      <c r="D253" s="45">
        <v>28</v>
      </c>
      <c r="E253" s="86">
        <f t="array" ref="E253">IF(C253="","",IFERROR(INDEX(Cost!$B$2:$B$4, MATCH("*" &amp; C253 &amp; "*", Cost!$A$2:$A$4, 0)), "Lỗi dữ liệu"))</f>
        <v>0.4</v>
      </c>
      <c r="F253" s="39" cm="1">
        <f t="array" ref="F253">_xlfn.IFS( C253="Road",LOOKUP(D253,{0,50,150},Cost!$B$8:$B$10), C253="Barge",Cost!$B$11, C253="Rail",Cost!$B$12, TRUE,0 )</f>
        <v>500000</v>
      </c>
      <c r="G253" s="88">
        <f>IF(C253="","",IFERROR(INDEX(Cost!$B$16:$B$18, MATCH("*" &amp; C253 &amp; "*", Cost!$A$2:$A$4, 0)), "Lỗi dữ liệu"))</f>
        <v>20000000</v>
      </c>
      <c r="H253" s="35">
        <v>1</v>
      </c>
      <c r="I253" s="40">
        <v>0</v>
      </c>
      <c r="J253" s="45"/>
      <c r="K253" s="3"/>
      <c r="L253" s="3"/>
      <c r="M253" s="3"/>
      <c r="N253" s="3"/>
      <c r="O253" s="3"/>
      <c r="P253" s="3"/>
      <c r="Q253" s="3"/>
      <c r="R253" s="3"/>
      <c r="S253" s="3"/>
      <c r="T253" s="3"/>
      <c r="U253" s="3"/>
      <c r="V253" s="3"/>
      <c r="W253" s="3"/>
      <c r="X253" s="3"/>
      <c r="Y253" s="3"/>
      <c r="Z253" s="3"/>
    </row>
    <row r="254" spans="1:26" ht="30" customHeight="1" x14ac:dyDescent="0.3">
      <c r="A254" s="56" t="s">
        <v>82</v>
      </c>
      <c r="B254" s="56" t="s">
        <v>66</v>
      </c>
      <c r="C254" s="20" t="s">
        <v>139</v>
      </c>
      <c r="D254" s="45">
        <v>34</v>
      </c>
      <c r="E254" s="86">
        <f t="array" ref="E254">IF(C254="","",IFERROR(INDEX(Cost!$B$2:$B$4, MATCH("*" &amp; C254 &amp; "*", Cost!$A$2:$A$4, 0)), "Lỗi dữ liệu"))</f>
        <v>0.25</v>
      </c>
      <c r="F254" s="39" cm="1">
        <f t="array" ref="F254">_xlfn.IFS( C254="Road",LOOKUP(D254,{0,50,150},Cost!$B$8:$B$10), C254="Barge",Cost!$B$11, C254="Rail",Cost!$B$12, TRUE,0 )</f>
        <v>1000000</v>
      </c>
      <c r="G254" s="88">
        <f>IF(C254="","",IFERROR(INDEX(Cost!$B$16:$B$18, MATCH("*" &amp; C254 &amp; "*", Cost!$A$2:$A$4, 0)), "Lỗi dữ liệu"))</f>
        <v>80000000</v>
      </c>
      <c r="H254" s="35">
        <v>1</v>
      </c>
      <c r="I254" s="40">
        <v>0</v>
      </c>
      <c r="J254" s="45"/>
      <c r="K254" s="3"/>
      <c r="L254" s="3"/>
      <c r="M254" s="3"/>
      <c r="N254" s="3"/>
      <c r="O254" s="3"/>
      <c r="P254" s="3"/>
      <c r="Q254" s="3"/>
      <c r="R254" s="3"/>
      <c r="S254" s="3"/>
      <c r="T254" s="3"/>
      <c r="U254" s="3"/>
      <c r="V254" s="3"/>
      <c r="W254" s="3"/>
      <c r="X254" s="3"/>
      <c r="Y254" s="3"/>
      <c r="Z254" s="3"/>
    </row>
    <row r="255" spans="1:26" ht="30" customHeight="1" x14ac:dyDescent="0.3">
      <c r="A255" s="56" t="s">
        <v>82</v>
      </c>
      <c r="B255" s="56" t="s">
        <v>102</v>
      </c>
      <c r="C255" s="20" t="s">
        <v>162</v>
      </c>
      <c r="D255" s="45">
        <v>27</v>
      </c>
      <c r="E255" s="86">
        <f t="array" ref="E255">IF(C255="","",IFERROR(INDEX(Cost!$B$2:$B$4, MATCH("*" &amp; C255 &amp; "*", Cost!$A$2:$A$4, 0)), "Lỗi dữ liệu"))</f>
        <v>1</v>
      </c>
      <c r="F255" s="39" cm="1">
        <f t="array" ref="F255">_xlfn.IFS( C255="Road",LOOKUP(D255,{0,50,150},Cost!$B$8:$B$10), C255="Barge",Cost!$B$11, C255="Rail",Cost!$B$12, TRUE,0 )</f>
        <v>800000</v>
      </c>
      <c r="G255" s="88">
        <f>IF(C255="","",IFERROR(INDEX(Cost!$B$16:$B$18, MATCH("*" &amp; C255 &amp; "*", Cost!$A$2:$A$4, 0)), "Lỗi dữ liệu"))</f>
        <v>6000000</v>
      </c>
      <c r="H255" s="35">
        <v>1</v>
      </c>
      <c r="I255" s="40">
        <v>0</v>
      </c>
      <c r="J255" s="45"/>
      <c r="K255" s="47"/>
      <c r="L255" s="47"/>
      <c r="M255" s="47"/>
      <c r="N255" s="47"/>
      <c r="O255" s="47"/>
      <c r="P255" s="47"/>
      <c r="Q255" s="47"/>
      <c r="R255" s="47"/>
      <c r="S255" s="47"/>
      <c r="T255" s="47"/>
      <c r="U255" s="47"/>
      <c r="V255" s="47"/>
      <c r="W255" s="47"/>
      <c r="X255" s="47"/>
      <c r="Y255" s="47"/>
      <c r="Z255" s="47"/>
    </row>
    <row r="256" spans="1:26" ht="30" customHeight="1" x14ac:dyDescent="0.3">
      <c r="A256" s="56" t="s">
        <v>82</v>
      </c>
      <c r="B256" s="56" t="s">
        <v>102</v>
      </c>
      <c r="C256" s="20" t="s">
        <v>152</v>
      </c>
      <c r="D256" s="45">
        <v>23</v>
      </c>
      <c r="E256" s="86">
        <f t="array" ref="E256">IF(C256="","",IFERROR(INDEX(Cost!$B$2:$B$4, MATCH("*" &amp; C256 &amp; "*", Cost!$A$2:$A$4, 0)), "Lỗi dữ liệu"))</f>
        <v>0.4</v>
      </c>
      <c r="F256" s="39" cm="1">
        <f t="array" ref="F256">_xlfn.IFS( C256="Road",LOOKUP(D256,{0,50,150},Cost!$B$8:$B$10), C256="Barge",Cost!$B$11, C256="Rail",Cost!$B$12, TRUE,0 )</f>
        <v>500000</v>
      </c>
      <c r="G256" s="88">
        <f>IF(C256="","",IFERROR(INDEX(Cost!$B$16:$B$18, MATCH("*" &amp; C256 &amp; "*", Cost!$A$2:$A$4, 0)), "Lỗi dữ liệu"))</f>
        <v>20000000</v>
      </c>
      <c r="H256" s="35">
        <v>1</v>
      </c>
      <c r="I256" s="40">
        <v>0</v>
      </c>
      <c r="J256" s="45"/>
      <c r="K256" s="47"/>
      <c r="L256" s="47"/>
      <c r="M256" s="47"/>
      <c r="N256" s="47"/>
      <c r="O256" s="47"/>
      <c r="P256" s="47"/>
      <c r="Q256" s="47"/>
      <c r="R256" s="47"/>
      <c r="S256" s="47"/>
      <c r="T256" s="47"/>
      <c r="U256" s="47"/>
      <c r="V256" s="47"/>
      <c r="W256" s="47"/>
      <c r="X256" s="47"/>
      <c r="Y256" s="47"/>
      <c r="Z256" s="47"/>
    </row>
    <row r="257" spans="1:26" ht="30" customHeight="1" x14ac:dyDescent="0.3">
      <c r="A257" s="56" t="s">
        <v>82</v>
      </c>
      <c r="B257" s="56" t="s">
        <v>119</v>
      </c>
      <c r="C257" s="20" t="s">
        <v>162</v>
      </c>
      <c r="D257" s="45">
        <v>12</v>
      </c>
      <c r="E257" s="86">
        <f t="array" ref="E257">IF(C257="","",IFERROR(INDEX(Cost!$B$2:$B$4, MATCH("*" &amp; C257 &amp; "*", Cost!$A$2:$A$4, 0)), "Lỗi dữ liệu"))</f>
        <v>1</v>
      </c>
      <c r="F257" s="39" cm="1">
        <f t="array" ref="F257">_xlfn.IFS( C257="Road",LOOKUP(D257,{0,50,150},Cost!$B$8:$B$10), C257="Barge",Cost!$B$11, C257="Rail",Cost!$B$12, TRUE,0 )</f>
        <v>800000</v>
      </c>
      <c r="G257" s="88">
        <f>IF(C257="","",IFERROR(INDEX(Cost!$B$16:$B$18, MATCH("*" &amp; C257 &amp; "*", Cost!$A$2:$A$4, 0)), "Lỗi dữ liệu"))</f>
        <v>6000000</v>
      </c>
      <c r="H257" s="35">
        <v>1</v>
      </c>
      <c r="I257" s="40">
        <v>0</v>
      </c>
      <c r="J257" s="45"/>
      <c r="K257" s="3"/>
      <c r="L257" s="3"/>
      <c r="M257" s="3"/>
      <c r="N257" s="3"/>
      <c r="O257" s="3"/>
      <c r="P257" s="3"/>
      <c r="Q257" s="3"/>
      <c r="R257" s="3"/>
      <c r="S257" s="3"/>
      <c r="T257" s="3"/>
      <c r="U257" s="3"/>
      <c r="V257" s="3"/>
      <c r="W257" s="3"/>
      <c r="X257" s="3"/>
      <c r="Y257" s="3"/>
      <c r="Z257" s="3"/>
    </row>
    <row r="258" spans="1:26" ht="30" customHeight="1" x14ac:dyDescent="0.3">
      <c r="A258" s="56" t="s">
        <v>82</v>
      </c>
      <c r="B258" s="56" t="s">
        <v>119</v>
      </c>
      <c r="C258" s="20" t="s">
        <v>152</v>
      </c>
      <c r="D258" s="45">
        <v>10</v>
      </c>
      <c r="E258" s="86">
        <f t="array" ref="E258">IF(C258="","",IFERROR(INDEX(Cost!$B$2:$B$4, MATCH("*" &amp; C258 &amp; "*", Cost!$A$2:$A$4, 0)), "Lỗi dữ liệu"))</f>
        <v>0.4</v>
      </c>
      <c r="F258" s="39" cm="1">
        <f t="array" ref="F258">_xlfn.IFS( C258="Road",LOOKUP(D258,{0,50,150},Cost!$B$8:$B$10), C258="Barge",Cost!$B$11, C258="Rail",Cost!$B$12, TRUE,0 )</f>
        <v>500000</v>
      </c>
      <c r="G258" s="88">
        <f>IF(C258="","",IFERROR(INDEX(Cost!$B$16:$B$18, MATCH("*" &amp; C258 &amp; "*", Cost!$A$2:$A$4, 0)), "Lỗi dữ liệu"))</f>
        <v>20000000</v>
      </c>
      <c r="H258" s="35">
        <v>1</v>
      </c>
      <c r="I258" s="40">
        <v>0</v>
      </c>
      <c r="J258" s="45"/>
      <c r="K258" s="3"/>
      <c r="L258" s="3"/>
      <c r="M258" s="3"/>
      <c r="N258" s="3"/>
      <c r="O258" s="3"/>
      <c r="P258" s="3"/>
      <c r="Q258" s="3"/>
      <c r="R258" s="3"/>
      <c r="S258" s="3"/>
      <c r="T258" s="3"/>
      <c r="U258" s="3"/>
      <c r="V258" s="3"/>
      <c r="W258" s="3"/>
      <c r="X258" s="3"/>
      <c r="Y258" s="3"/>
      <c r="Z258" s="3"/>
    </row>
    <row r="259" spans="1:26" ht="30" customHeight="1" x14ac:dyDescent="0.3">
      <c r="A259" s="56" t="s">
        <v>82</v>
      </c>
      <c r="B259" s="56" t="s">
        <v>119</v>
      </c>
      <c r="C259" s="20" t="s">
        <v>139</v>
      </c>
      <c r="D259" s="45">
        <v>13</v>
      </c>
      <c r="E259" s="86">
        <f t="array" ref="E259">IF(C259="","",IFERROR(INDEX(Cost!$B$2:$B$4, MATCH("*" &amp; C259 &amp; "*", Cost!$A$2:$A$4, 0)), "Lỗi dữ liệu"))</f>
        <v>0.25</v>
      </c>
      <c r="F259" s="39" cm="1">
        <f t="array" ref="F259">_xlfn.IFS( C259="Road",LOOKUP(D259,{0,50,150},Cost!$B$8:$B$10), C259="Barge",Cost!$B$11, C259="Rail",Cost!$B$12, TRUE,0 )</f>
        <v>1000000</v>
      </c>
      <c r="G259" s="88">
        <f>IF(C259="","",IFERROR(INDEX(Cost!$B$16:$B$18, MATCH("*" &amp; C259 &amp; "*", Cost!$A$2:$A$4, 0)), "Lỗi dữ liệu"))</f>
        <v>80000000</v>
      </c>
      <c r="H259" s="35">
        <v>1</v>
      </c>
      <c r="I259" s="40">
        <v>0</v>
      </c>
      <c r="J259" s="45"/>
      <c r="K259" s="3"/>
      <c r="L259" s="3"/>
      <c r="M259" s="3"/>
      <c r="N259" s="3"/>
      <c r="O259" s="3"/>
      <c r="P259" s="3"/>
      <c r="Q259" s="3"/>
      <c r="R259" s="3"/>
      <c r="S259" s="3"/>
      <c r="T259" s="3"/>
      <c r="U259" s="3"/>
      <c r="V259" s="3"/>
      <c r="W259" s="3"/>
      <c r="X259" s="3"/>
      <c r="Y259" s="3"/>
      <c r="Z259" s="3"/>
    </row>
    <row r="260" spans="1:26" ht="30" customHeight="1" x14ac:dyDescent="0.3">
      <c r="A260" s="56" t="s">
        <v>82</v>
      </c>
      <c r="B260" s="56" t="s">
        <v>126</v>
      </c>
      <c r="C260" s="20" t="s">
        <v>162</v>
      </c>
      <c r="D260" s="45">
        <v>23</v>
      </c>
      <c r="E260" s="86">
        <f t="array" ref="E260">IF(C260="","",IFERROR(INDEX(Cost!$B$2:$B$4, MATCH("*" &amp; C260 &amp; "*", Cost!$A$2:$A$4, 0)), "Lỗi dữ liệu"))</f>
        <v>1</v>
      </c>
      <c r="F260" s="39" cm="1">
        <f t="array" ref="F260">_xlfn.IFS( C260="Road",LOOKUP(D260,{0,50,150},Cost!$B$8:$B$10), C260="Barge",Cost!$B$11, C260="Rail",Cost!$B$12, TRUE,0 )</f>
        <v>800000</v>
      </c>
      <c r="G260" s="88">
        <f>IF(C260="","",IFERROR(INDEX(Cost!$B$16:$B$18, MATCH("*" &amp; C260 &amp; "*", Cost!$A$2:$A$4, 0)), "Lỗi dữ liệu"))</f>
        <v>6000000</v>
      </c>
      <c r="H260" s="35">
        <v>1</v>
      </c>
      <c r="I260" s="40">
        <v>0</v>
      </c>
      <c r="J260" s="45"/>
      <c r="K260" s="47"/>
      <c r="L260" s="47"/>
      <c r="M260" s="47"/>
      <c r="N260" s="47"/>
      <c r="O260" s="47"/>
      <c r="P260" s="47"/>
      <c r="Q260" s="47"/>
      <c r="R260" s="47"/>
      <c r="S260" s="47"/>
      <c r="T260" s="47"/>
      <c r="U260" s="47"/>
      <c r="V260" s="47"/>
      <c r="W260" s="47"/>
      <c r="X260" s="47"/>
      <c r="Y260" s="47"/>
      <c r="Z260" s="47"/>
    </row>
    <row r="261" spans="1:26" ht="30" customHeight="1" x14ac:dyDescent="0.3">
      <c r="A261" s="56" t="s">
        <v>82</v>
      </c>
      <c r="B261" s="56" t="s">
        <v>126</v>
      </c>
      <c r="C261" s="20" t="s">
        <v>152</v>
      </c>
      <c r="D261" s="45">
        <v>20</v>
      </c>
      <c r="E261" s="86">
        <f t="array" ref="E261">IF(C261="","",IFERROR(INDEX(Cost!$B$2:$B$4, MATCH("*" &amp; C261 &amp; "*", Cost!$A$2:$A$4, 0)), "Lỗi dữ liệu"))</f>
        <v>0.4</v>
      </c>
      <c r="F261" s="39" cm="1">
        <f t="array" ref="F261">_xlfn.IFS( C261="Road",LOOKUP(D261,{0,50,150},Cost!$B$8:$B$10), C261="Barge",Cost!$B$11, C261="Rail",Cost!$B$12, TRUE,0 )</f>
        <v>500000</v>
      </c>
      <c r="G261" s="88">
        <f>IF(C261="","",IFERROR(INDEX(Cost!$B$16:$B$18, MATCH("*" &amp; C261 &amp; "*", Cost!$A$2:$A$4, 0)), "Lỗi dữ liệu"))</f>
        <v>20000000</v>
      </c>
      <c r="H261" s="35">
        <v>1</v>
      </c>
      <c r="I261" s="40">
        <v>0</v>
      </c>
      <c r="J261" s="45"/>
      <c r="K261" s="47"/>
      <c r="L261" s="47"/>
      <c r="M261" s="47"/>
      <c r="N261" s="47"/>
      <c r="O261" s="47"/>
      <c r="P261" s="47"/>
      <c r="Q261" s="47"/>
      <c r="R261" s="47"/>
      <c r="S261" s="47"/>
      <c r="T261" s="47"/>
      <c r="U261" s="47"/>
      <c r="V261" s="47"/>
      <c r="W261" s="47"/>
      <c r="X261" s="47"/>
      <c r="Y261" s="47"/>
      <c r="Z261" s="47"/>
    </row>
    <row r="262" spans="1:26" ht="30" customHeight="1" x14ac:dyDescent="0.3">
      <c r="A262" s="56" t="s">
        <v>82</v>
      </c>
      <c r="B262" s="56" t="s">
        <v>126</v>
      </c>
      <c r="C262" s="37" t="s">
        <v>139</v>
      </c>
      <c r="D262" s="45">
        <v>25</v>
      </c>
      <c r="E262" s="86">
        <f t="array" ref="E262">IF(C262="","",IFERROR(INDEX(Cost!$B$2:$B$4, MATCH("*" &amp; C262 &amp; "*", Cost!$A$2:$A$4, 0)), "Lỗi dữ liệu"))</f>
        <v>0.25</v>
      </c>
      <c r="F262" s="39" cm="1">
        <f t="array" ref="F262">_xlfn.IFS( C262="Road",LOOKUP(D262,{0,50,150},Cost!$B$8:$B$10), C262="Barge",Cost!$B$11, C262="Rail",Cost!$B$12, TRUE,0 )</f>
        <v>1000000</v>
      </c>
      <c r="G262" s="88">
        <f>IF(C262="","",IFERROR(INDEX(Cost!$B$16:$B$18, MATCH("*" &amp; C262 &amp; "*", Cost!$A$2:$A$4, 0)), "Lỗi dữ liệu"))</f>
        <v>80000000</v>
      </c>
      <c r="H262" s="35">
        <v>1</v>
      </c>
      <c r="I262" s="40">
        <v>0</v>
      </c>
      <c r="J262" s="45"/>
      <c r="K262" s="47"/>
      <c r="L262" s="47"/>
      <c r="M262" s="47"/>
      <c r="N262" s="47"/>
      <c r="O262" s="47"/>
      <c r="P262" s="47"/>
      <c r="Q262" s="47"/>
      <c r="R262" s="47"/>
      <c r="S262" s="47"/>
      <c r="T262" s="47"/>
      <c r="U262" s="47"/>
      <c r="V262" s="47"/>
      <c r="W262" s="47"/>
      <c r="X262" s="47"/>
      <c r="Y262" s="47"/>
      <c r="Z262" s="47"/>
    </row>
    <row r="263" spans="1:26" ht="30" customHeight="1" x14ac:dyDescent="0.3">
      <c r="A263" s="46" t="s">
        <v>102</v>
      </c>
      <c r="B263" s="46" t="s">
        <v>24</v>
      </c>
      <c r="C263" s="37" t="s">
        <v>162</v>
      </c>
      <c r="D263" s="45">
        <v>114</v>
      </c>
      <c r="E263" s="86">
        <f t="array" ref="E263">IF(C263="","",IFERROR(INDEX(Cost!$B$2:$B$4, MATCH("*" &amp; C263 &amp; "*", Cost!$A$2:$A$4, 0)), "Lỗi dữ liệu"))</f>
        <v>1</v>
      </c>
      <c r="F263" s="39" cm="1">
        <f t="array" ref="F263">_xlfn.IFS( C263="Road",LOOKUP(D263,{0,50,150},Cost!$B$8:$B$10), C263="Barge",Cost!$B$11, C263="Rail",Cost!$B$12, TRUE,0 )</f>
        <v>500000</v>
      </c>
      <c r="G263" s="88">
        <f>IF(C263="","",IFERROR(INDEX(Cost!$B$16:$B$18, MATCH("*" &amp; C263 &amp; "*", Cost!$A$2:$A$4, 0)), "Lỗi dữ liệu"))</f>
        <v>6000000</v>
      </c>
      <c r="H263" s="35">
        <v>1</v>
      </c>
      <c r="I263" s="40">
        <v>1</v>
      </c>
      <c r="J263" s="45"/>
      <c r="K263" s="3"/>
      <c r="L263" s="3"/>
      <c r="M263" s="3"/>
      <c r="N263" s="3"/>
      <c r="O263" s="3"/>
      <c r="P263" s="3"/>
      <c r="Q263" s="3"/>
      <c r="R263" s="3"/>
      <c r="S263" s="3"/>
      <c r="T263" s="3"/>
      <c r="U263" s="3"/>
      <c r="V263" s="3"/>
      <c r="W263" s="3"/>
      <c r="X263" s="3"/>
      <c r="Y263" s="3"/>
      <c r="Z263" s="3"/>
    </row>
    <row r="264" spans="1:26" ht="30" customHeight="1" x14ac:dyDescent="0.3">
      <c r="A264" s="46" t="s">
        <v>102</v>
      </c>
      <c r="B264" s="46" t="s">
        <v>24</v>
      </c>
      <c r="C264" s="20" t="s">
        <v>152</v>
      </c>
      <c r="D264" s="45">
        <v>92</v>
      </c>
      <c r="E264" s="86">
        <f t="array" ref="E264">IF(C264="","",IFERROR(INDEX(Cost!$B$2:$B$4, MATCH("*" &amp; C264 &amp; "*", Cost!$A$2:$A$4, 0)), "Lỗi dữ liệu"))</f>
        <v>0.4</v>
      </c>
      <c r="F264" s="39" cm="1">
        <f t="array" ref="F264">_xlfn.IFS( C264="Road",LOOKUP(D264,{0,50,150},Cost!$B$8:$B$10), C264="Barge",Cost!$B$11, C264="Rail",Cost!$B$12, TRUE,0 )</f>
        <v>500000</v>
      </c>
      <c r="G264" s="88">
        <f>IF(C264="","",IFERROR(INDEX(Cost!$B$16:$B$18, MATCH("*" &amp; C264 &amp; "*", Cost!$A$2:$A$4, 0)), "Lỗi dữ liệu"))</f>
        <v>20000000</v>
      </c>
      <c r="H264" s="35">
        <v>1</v>
      </c>
      <c r="I264" s="40">
        <v>1</v>
      </c>
      <c r="J264" s="45"/>
      <c r="K264" s="3"/>
      <c r="L264" s="3"/>
      <c r="M264" s="3"/>
      <c r="N264" s="3"/>
      <c r="O264" s="3"/>
      <c r="P264" s="3"/>
      <c r="Q264" s="3"/>
      <c r="R264" s="3"/>
      <c r="S264" s="3"/>
      <c r="T264" s="3"/>
      <c r="U264" s="3"/>
      <c r="V264" s="3"/>
      <c r="W264" s="3"/>
      <c r="X264" s="3"/>
      <c r="Y264" s="3"/>
      <c r="Z264" s="3"/>
    </row>
    <row r="265" spans="1:26" ht="30" customHeight="1" x14ac:dyDescent="0.3">
      <c r="A265" s="46" t="s">
        <v>102</v>
      </c>
      <c r="B265" s="46" t="s">
        <v>11</v>
      </c>
      <c r="C265" s="37" t="s">
        <v>162</v>
      </c>
      <c r="D265" s="45">
        <v>88</v>
      </c>
      <c r="E265" s="86">
        <f t="array" ref="E265">IF(C265="","",IFERROR(INDEX(Cost!$B$2:$B$4, MATCH("*" &amp; C265 &amp; "*", Cost!$A$2:$A$4, 0)), "Lỗi dữ liệu"))</f>
        <v>1</v>
      </c>
      <c r="F265" s="39" cm="1">
        <f t="array" ref="F265">_xlfn.IFS( C265="Road",LOOKUP(D265,{0,50,150},Cost!$B$8:$B$10), C265="Barge",Cost!$B$11, C265="Rail",Cost!$B$12, TRUE,0 )</f>
        <v>500000</v>
      </c>
      <c r="G265" s="88">
        <f>IF(C265="","",IFERROR(INDEX(Cost!$B$16:$B$18, MATCH("*" &amp; C265 &amp; "*", Cost!$A$2:$A$4, 0)), "Lỗi dữ liệu"))</f>
        <v>6000000</v>
      </c>
      <c r="H265" s="35">
        <v>1</v>
      </c>
      <c r="I265" s="40">
        <v>0</v>
      </c>
      <c r="J265" s="45"/>
      <c r="K265" s="47"/>
      <c r="L265" s="47"/>
      <c r="M265" s="47"/>
      <c r="N265" s="47"/>
      <c r="O265" s="47"/>
      <c r="P265" s="47"/>
      <c r="Q265" s="47"/>
      <c r="R265" s="47"/>
      <c r="S265" s="47"/>
      <c r="T265" s="47"/>
      <c r="U265" s="47"/>
      <c r="V265" s="47"/>
      <c r="W265" s="47"/>
      <c r="X265" s="47"/>
      <c r="Y265" s="47"/>
      <c r="Z265" s="47"/>
    </row>
    <row r="266" spans="1:26" ht="30" customHeight="1" x14ac:dyDescent="0.3">
      <c r="A266" s="46" t="s">
        <v>102</v>
      </c>
      <c r="B266" s="46" t="s">
        <v>11</v>
      </c>
      <c r="C266" s="20" t="s">
        <v>152</v>
      </c>
      <c r="D266" s="45">
        <v>78</v>
      </c>
      <c r="E266" s="86">
        <f t="array" ref="E266">IF(C266="","",IFERROR(INDEX(Cost!$B$2:$B$4, MATCH("*" &amp; C266 &amp; "*", Cost!$A$2:$A$4, 0)), "Lỗi dữ liệu"))</f>
        <v>0.4</v>
      </c>
      <c r="F266" s="39" cm="1">
        <f t="array" ref="F266">_xlfn.IFS( C266="Road",LOOKUP(D266,{0,50,150},Cost!$B$8:$B$10), C266="Barge",Cost!$B$11, C266="Rail",Cost!$B$12, TRUE,0 )</f>
        <v>500000</v>
      </c>
      <c r="G266" s="88">
        <f>IF(C266="","",IFERROR(INDEX(Cost!$B$16:$B$18, MATCH("*" &amp; C266 &amp; "*", Cost!$A$2:$A$4, 0)), "Lỗi dữ liệu"))</f>
        <v>20000000</v>
      </c>
      <c r="H266" s="35">
        <v>1</v>
      </c>
      <c r="I266" s="40">
        <v>0</v>
      </c>
      <c r="J266" s="45"/>
      <c r="K266" s="47"/>
      <c r="L266" s="47"/>
      <c r="M266" s="47"/>
      <c r="N266" s="47"/>
      <c r="O266" s="47"/>
      <c r="P266" s="47"/>
      <c r="Q266" s="47"/>
      <c r="R266" s="47"/>
      <c r="S266" s="47"/>
      <c r="T266" s="47"/>
      <c r="U266" s="47"/>
      <c r="V266" s="47"/>
      <c r="W266" s="47"/>
      <c r="X266" s="47"/>
      <c r="Y266" s="47"/>
      <c r="Z266" s="47"/>
    </row>
    <row r="267" spans="1:26" ht="30" customHeight="1" x14ac:dyDescent="0.3">
      <c r="A267" s="46" t="s">
        <v>102</v>
      </c>
      <c r="B267" s="46" t="s">
        <v>17</v>
      </c>
      <c r="C267" s="20" t="s">
        <v>162</v>
      </c>
      <c r="D267" s="45">
        <v>92</v>
      </c>
      <c r="E267" s="86">
        <f t="array" ref="E267">IF(C267="","",IFERROR(INDEX(Cost!$B$2:$B$4, MATCH("*" &amp; C267 &amp; "*", Cost!$A$2:$A$4, 0)), "Lỗi dữ liệu"))</f>
        <v>1</v>
      </c>
      <c r="F267" s="39" cm="1">
        <f t="array" ref="F267">_xlfn.IFS( C267="Road",LOOKUP(D267,{0,50,150},Cost!$B$8:$B$10), C267="Barge",Cost!$B$11, C267="Rail",Cost!$B$12, TRUE,0 )</f>
        <v>500000</v>
      </c>
      <c r="G267" s="88">
        <f>IF(C267="","",IFERROR(INDEX(Cost!$B$16:$B$18, MATCH("*" &amp; C267 &amp; "*", Cost!$A$2:$A$4, 0)), "Lỗi dữ liệu"))</f>
        <v>6000000</v>
      </c>
      <c r="H267" s="35">
        <v>1</v>
      </c>
      <c r="I267" s="40">
        <v>0</v>
      </c>
      <c r="J267" s="45"/>
      <c r="K267" s="3"/>
      <c r="L267" s="3"/>
      <c r="M267" s="3"/>
      <c r="N267" s="3"/>
      <c r="O267" s="3"/>
      <c r="P267" s="3"/>
      <c r="Q267" s="3"/>
      <c r="R267" s="3"/>
      <c r="S267" s="3"/>
      <c r="T267" s="3"/>
      <c r="U267" s="3"/>
      <c r="V267" s="3"/>
      <c r="W267" s="3"/>
      <c r="X267" s="3"/>
      <c r="Y267" s="3"/>
      <c r="Z267" s="3"/>
    </row>
    <row r="268" spans="1:26" ht="30" customHeight="1" x14ac:dyDescent="0.3">
      <c r="A268" s="46" t="s">
        <v>102</v>
      </c>
      <c r="B268" s="46" t="s">
        <v>17</v>
      </c>
      <c r="C268" s="20" t="s">
        <v>152</v>
      </c>
      <c r="D268" s="45">
        <v>82</v>
      </c>
      <c r="E268" s="86">
        <f t="array" ref="E268">IF(C268="","",IFERROR(INDEX(Cost!$B$2:$B$4, MATCH("*" &amp; C268 &amp; "*", Cost!$A$2:$A$4, 0)), "Lỗi dữ liệu"))</f>
        <v>0.4</v>
      </c>
      <c r="F268" s="39" cm="1">
        <f t="array" ref="F268">_xlfn.IFS( C268="Road",LOOKUP(D268,{0,50,150},Cost!$B$8:$B$10), C268="Barge",Cost!$B$11, C268="Rail",Cost!$B$12, TRUE,0 )</f>
        <v>500000</v>
      </c>
      <c r="G268" s="88">
        <f>IF(C268="","",IFERROR(INDEX(Cost!$B$16:$B$18, MATCH("*" &amp; C268 &amp; "*", Cost!$A$2:$A$4, 0)), "Lỗi dữ liệu"))</f>
        <v>20000000</v>
      </c>
      <c r="H268" s="35">
        <v>1</v>
      </c>
      <c r="I268" s="40">
        <v>0</v>
      </c>
      <c r="J268" s="45"/>
      <c r="K268" s="3"/>
      <c r="L268" s="3"/>
      <c r="M268" s="3"/>
      <c r="N268" s="3"/>
      <c r="O268" s="3"/>
      <c r="P268" s="3"/>
      <c r="Q268" s="3"/>
      <c r="R268" s="3"/>
      <c r="S268" s="3"/>
      <c r="T268" s="3"/>
      <c r="U268" s="3"/>
      <c r="V268" s="3"/>
      <c r="W268" s="3"/>
      <c r="X268" s="3"/>
      <c r="Y268" s="3"/>
      <c r="Z268" s="3"/>
    </row>
    <row r="269" spans="1:26" ht="30" customHeight="1" x14ac:dyDescent="0.3">
      <c r="A269" s="46" t="s">
        <v>102</v>
      </c>
      <c r="B269" s="46" t="s">
        <v>29</v>
      </c>
      <c r="C269" s="20" t="s">
        <v>162</v>
      </c>
      <c r="D269" s="45">
        <v>84</v>
      </c>
      <c r="E269" s="86">
        <f t="array" ref="E269">IF(C269="","",IFERROR(INDEX(Cost!$B$2:$B$4, MATCH("*" &amp; C269 &amp; "*", Cost!$A$2:$A$4, 0)), "Lỗi dữ liệu"))</f>
        <v>1</v>
      </c>
      <c r="F269" s="39" cm="1">
        <f t="array" ref="F269">_xlfn.IFS( C269="Road",LOOKUP(D269,{0,50,150},Cost!$B$8:$B$10), C269="Barge",Cost!$B$11, C269="Rail",Cost!$B$12, TRUE,0 )</f>
        <v>500000</v>
      </c>
      <c r="G269" s="88">
        <f>IF(C269="","",IFERROR(INDEX(Cost!$B$16:$B$18, MATCH("*" &amp; C269 &amp; "*", Cost!$A$2:$A$4, 0)), "Lỗi dữ liệu"))</f>
        <v>6000000</v>
      </c>
      <c r="H269" s="35">
        <v>1</v>
      </c>
      <c r="I269" s="40">
        <v>0</v>
      </c>
      <c r="J269" s="45"/>
      <c r="K269" s="47"/>
      <c r="L269" s="47"/>
      <c r="M269" s="47"/>
      <c r="N269" s="47"/>
      <c r="O269" s="47"/>
      <c r="P269" s="47"/>
      <c r="Q269" s="47"/>
      <c r="R269" s="47"/>
      <c r="S269" s="47"/>
      <c r="T269" s="47"/>
      <c r="U269" s="47"/>
      <c r="V269" s="47"/>
      <c r="W269" s="47"/>
      <c r="X269" s="47"/>
      <c r="Y269" s="47"/>
      <c r="Z269" s="47"/>
    </row>
    <row r="270" spans="1:26" ht="30" customHeight="1" x14ac:dyDescent="0.3">
      <c r="A270" s="46" t="s">
        <v>102</v>
      </c>
      <c r="B270" s="46" t="s">
        <v>29</v>
      </c>
      <c r="C270" s="20" t="s">
        <v>152</v>
      </c>
      <c r="D270" s="45">
        <v>74</v>
      </c>
      <c r="E270" s="86">
        <f t="array" ref="E270">IF(C270="","",IFERROR(INDEX(Cost!$B$2:$B$4, MATCH("*" &amp; C270 &amp; "*", Cost!$A$2:$A$4, 0)), "Lỗi dữ liệu"))</f>
        <v>0.4</v>
      </c>
      <c r="F270" s="39" cm="1">
        <f t="array" ref="F270">_xlfn.IFS( C270="Road",LOOKUP(D270,{0,50,150},Cost!$B$8:$B$10), C270="Barge",Cost!$B$11, C270="Rail",Cost!$B$12, TRUE,0 )</f>
        <v>500000</v>
      </c>
      <c r="G270" s="88">
        <f>IF(C270="","",IFERROR(INDEX(Cost!$B$16:$B$18, MATCH("*" &amp; C270 &amp; "*", Cost!$A$2:$A$4, 0)), "Lỗi dữ liệu"))</f>
        <v>20000000</v>
      </c>
      <c r="H270" s="35">
        <v>1</v>
      </c>
      <c r="I270" s="40">
        <v>0</v>
      </c>
      <c r="J270" s="45"/>
      <c r="K270" s="47"/>
      <c r="L270" s="47"/>
      <c r="M270" s="47"/>
      <c r="N270" s="47"/>
      <c r="O270" s="47"/>
      <c r="P270" s="47"/>
      <c r="Q270" s="47"/>
      <c r="R270" s="47"/>
      <c r="S270" s="47"/>
      <c r="T270" s="47"/>
      <c r="U270" s="47"/>
      <c r="V270" s="47"/>
      <c r="W270" s="47"/>
      <c r="X270" s="47"/>
      <c r="Y270" s="47"/>
      <c r="Z270" s="47"/>
    </row>
    <row r="271" spans="1:26" ht="30" customHeight="1" x14ac:dyDescent="0.3">
      <c r="A271" s="46" t="s">
        <v>102</v>
      </c>
      <c r="B271" s="46" t="s">
        <v>49</v>
      </c>
      <c r="C271" s="20" t="s">
        <v>162</v>
      </c>
      <c r="D271" s="45">
        <v>34</v>
      </c>
      <c r="E271" s="86">
        <f t="array" ref="E271">IF(C271="","",IFERROR(INDEX(Cost!$B$2:$B$4, MATCH("*" &amp; C271 &amp; "*", Cost!$A$2:$A$4, 0)), "Lỗi dữ liệu"))</f>
        <v>1</v>
      </c>
      <c r="F271" s="39" cm="1">
        <f t="array" ref="F271">_xlfn.IFS( C271="Road",LOOKUP(D271,{0,50,150},Cost!$B$8:$B$10), C271="Barge",Cost!$B$11, C271="Rail",Cost!$B$12, TRUE,0 )</f>
        <v>800000</v>
      </c>
      <c r="G271" s="88">
        <f>IF(C271="","",IFERROR(INDEX(Cost!$B$16:$B$18, MATCH("*" &amp; C271 &amp; "*", Cost!$A$2:$A$4, 0)), "Lỗi dữ liệu"))</f>
        <v>6000000</v>
      </c>
      <c r="H271" s="35">
        <v>1</v>
      </c>
      <c r="I271" s="40">
        <v>0</v>
      </c>
      <c r="J271" s="45"/>
      <c r="K271" s="3"/>
      <c r="L271" s="3"/>
      <c r="M271" s="3"/>
      <c r="N271" s="3"/>
      <c r="O271" s="3"/>
      <c r="P271" s="3"/>
      <c r="Q271" s="3"/>
      <c r="R271" s="3"/>
      <c r="S271" s="3"/>
      <c r="T271" s="3"/>
      <c r="U271" s="3"/>
      <c r="V271" s="3"/>
      <c r="W271" s="3"/>
      <c r="X271" s="3"/>
      <c r="Y271" s="3"/>
      <c r="Z271" s="3"/>
    </row>
    <row r="272" spans="1:26" ht="30" customHeight="1" x14ac:dyDescent="0.3">
      <c r="A272" s="46" t="s">
        <v>102</v>
      </c>
      <c r="B272" s="46" t="s">
        <v>49</v>
      </c>
      <c r="C272" s="20" t="s">
        <v>152</v>
      </c>
      <c r="D272" s="45">
        <v>30</v>
      </c>
      <c r="E272" s="86">
        <f t="array" ref="E272">IF(C272="","",IFERROR(INDEX(Cost!$B$2:$B$4, MATCH("*" &amp; C272 &amp; "*", Cost!$A$2:$A$4, 0)), "Lỗi dữ liệu"))</f>
        <v>0.4</v>
      </c>
      <c r="F272" s="39" cm="1">
        <f t="array" ref="F272">_xlfn.IFS( C272="Road",LOOKUP(D272,{0,50,150},Cost!$B$8:$B$10), C272="Barge",Cost!$B$11, C272="Rail",Cost!$B$12, TRUE,0 )</f>
        <v>500000</v>
      </c>
      <c r="G272" s="88">
        <f>IF(C272="","",IFERROR(INDEX(Cost!$B$16:$B$18, MATCH("*" &amp; C272 &amp; "*", Cost!$A$2:$A$4, 0)), "Lỗi dữ liệu"))</f>
        <v>20000000</v>
      </c>
      <c r="H272" s="35">
        <v>1</v>
      </c>
      <c r="I272" s="40">
        <v>0</v>
      </c>
      <c r="J272" s="45"/>
      <c r="K272" s="3"/>
      <c r="L272" s="3"/>
      <c r="M272" s="3"/>
      <c r="N272" s="3"/>
      <c r="O272" s="3"/>
      <c r="P272" s="3"/>
      <c r="Q272" s="3"/>
      <c r="R272" s="3"/>
      <c r="S272" s="3"/>
      <c r="T272" s="3"/>
      <c r="U272" s="3"/>
      <c r="V272" s="3"/>
      <c r="W272" s="3"/>
      <c r="X272" s="3"/>
      <c r="Y272" s="3"/>
      <c r="Z272" s="3"/>
    </row>
    <row r="273" spans="1:26" ht="30" customHeight="1" x14ac:dyDescent="0.3">
      <c r="A273" s="46" t="s">
        <v>102</v>
      </c>
      <c r="B273" s="46" t="s">
        <v>49</v>
      </c>
      <c r="C273" s="20" t="s">
        <v>139</v>
      </c>
      <c r="D273" s="45">
        <v>36</v>
      </c>
      <c r="E273" s="86">
        <f t="array" ref="E273">IF(C273="","",IFERROR(INDEX(Cost!$B$2:$B$4, MATCH("*" &amp; C273 &amp; "*", Cost!$A$2:$A$4, 0)), "Lỗi dữ liệu"))</f>
        <v>0.25</v>
      </c>
      <c r="F273" s="39" cm="1">
        <f t="array" ref="F273">_xlfn.IFS( C273="Road",LOOKUP(D273,{0,50,150},Cost!$B$8:$B$10), C273="Barge",Cost!$B$11, C273="Rail",Cost!$B$12, TRUE,0 )</f>
        <v>1000000</v>
      </c>
      <c r="G273" s="88">
        <f>IF(C273="","",IFERROR(INDEX(Cost!$B$16:$B$18, MATCH("*" &amp; C273 &amp; "*", Cost!$A$2:$A$4, 0)), "Lỗi dữ liệu"))</f>
        <v>80000000</v>
      </c>
      <c r="H273" s="35">
        <v>1</v>
      </c>
      <c r="I273" s="40">
        <v>0</v>
      </c>
      <c r="J273" s="45"/>
      <c r="K273" s="3"/>
      <c r="L273" s="3"/>
      <c r="M273" s="3"/>
      <c r="N273" s="3"/>
      <c r="O273" s="3"/>
      <c r="P273" s="3"/>
      <c r="Q273" s="3"/>
      <c r="R273" s="3"/>
      <c r="S273" s="3"/>
      <c r="T273" s="3"/>
      <c r="U273" s="3"/>
      <c r="V273" s="3"/>
      <c r="W273" s="3"/>
      <c r="X273" s="3"/>
      <c r="Y273" s="3"/>
      <c r="Z273" s="3"/>
    </row>
    <row r="274" spans="1:26" ht="30" customHeight="1" x14ac:dyDescent="0.3">
      <c r="A274" s="46" t="s">
        <v>102</v>
      </c>
      <c r="B274" s="46" t="s">
        <v>58</v>
      </c>
      <c r="C274" s="20" t="s">
        <v>162</v>
      </c>
      <c r="D274" s="45">
        <v>21</v>
      </c>
      <c r="E274" s="86">
        <f t="array" ref="E274">IF(C274="","",IFERROR(INDEX(Cost!$B$2:$B$4, MATCH("*" &amp; C274 &amp; "*", Cost!$A$2:$A$4, 0)), "Lỗi dữ liệu"))</f>
        <v>1</v>
      </c>
      <c r="F274" s="39" cm="1">
        <f t="array" ref="F274">_xlfn.IFS( C274="Road",LOOKUP(D274,{0,50,150},Cost!$B$8:$B$10), C274="Barge",Cost!$B$11, C274="Rail",Cost!$B$12, TRUE,0 )</f>
        <v>800000</v>
      </c>
      <c r="G274" s="88">
        <f>IF(C274="","",IFERROR(INDEX(Cost!$B$16:$B$18, MATCH("*" &amp; C274 &amp; "*", Cost!$A$2:$A$4, 0)), "Lỗi dữ liệu"))</f>
        <v>6000000</v>
      </c>
      <c r="H274" s="35">
        <v>1</v>
      </c>
      <c r="I274" s="40">
        <v>0</v>
      </c>
      <c r="J274" s="45"/>
      <c r="K274" s="47"/>
      <c r="L274" s="47"/>
      <c r="M274" s="47"/>
      <c r="N274" s="47"/>
      <c r="O274" s="47"/>
      <c r="P274" s="47"/>
      <c r="Q274" s="47"/>
      <c r="R274" s="47"/>
      <c r="S274" s="47"/>
      <c r="T274" s="47"/>
      <c r="U274" s="47"/>
      <c r="V274" s="47"/>
      <c r="W274" s="47"/>
      <c r="X274" s="47"/>
      <c r="Y274" s="47"/>
      <c r="Z274" s="47"/>
    </row>
    <row r="275" spans="1:26" ht="30" customHeight="1" x14ac:dyDescent="0.3">
      <c r="A275" s="46" t="s">
        <v>102</v>
      </c>
      <c r="B275" s="46" t="s">
        <v>58</v>
      </c>
      <c r="C275" s="20" t="s">
        <v>152</v>
      </c>
      <c r="D275" s="45">
        <v>19</v>
      </c>
      <c r="E275" s="86">
        <f t="array" ref="E275">IF(C275="","",IFERROR(INDEX(Cost!$B$2:$B$4, MATCH("*" &amp; C275 &amp; "*", Cost!$A$2:$A$4, 0)), "Lỗi dữ liệu"))</f>
        <v>0.4</v>
      </c>
      <c r="F275" s="39" cm="1">
        <f t="array" ref="F275">_xlfn.IFS( C275="Road",LOOKUP(D275,{0,50,150},Cost!$B$8:$B$10), C275="Barge",Cost!$B$11, C275="Rail",Cost!$B$12, TRUE,0 )</f>
        <v>500000</v>
      </c>
      <c r="G275" s="88">
        <f>IF(C275="","",IFERROR(INDEX(Cost!$B$16:$B$18, MATCH("*" &amp; C275 &amp; "*", Cost!$A$2:$A$4, 0)), "Lỗi dữ liệu"))</f>
        <v>20000000</v>
      </c>
      <c r="H275" s="35">
        <v>1</v>
      </c>
      <c r="I275" s="40">
        <v>0</v>
      </c>
      <c r="J275" s="45"/>
      <c r="K275" s="47"/>
      <c r="L275" s="47"/>
      <c r="M275" s="47"/>
      <c r="N275" s="47"/>
      <c r="O275" s="47"/>
      <c r="P275" s="47"/>
      <c r="Q275" s="47"/>
      <c r="R275" s="47"/>
      <c r="S275" s="47"/>
      <c r="T275" s="47"/>
      <c r="U275" s="47"/>
      <c r="V275" s="47"/>
      <c r="W275" s="47"/>
      <c r="X275" s="47"/>
      <c r="Y275" s="47"/>
      <c r="Z275" s="47"/>
    </row>
    <row r="276" spans="1:26" ht="30" customHeight="1" x14ac:dyDescent="0.3">
      <c r="A276" s="46" t="s">
        <v>102</v>
      </c>
      <c r="B276" s="46" t="s">
        <v>58</v>
      </c>
      <c r="C276" s="20" t="s">
        <v>139</v>
      </c>
      <c r="D276" s="45">
        <v>23</v>
      </c>
      <c r="E276" s="86">
        <f t="array" ref="E276">IF(C276="","",IFERROR(INDEX(Cost!$B$2:$B$4, MATCH("*" &amp; C276 &amp; "*", Cost!$A$2:$A$4, 0)), "Lỗi dữ liệu"))</f>
        <v>0.25</v>
      </c>
      <c r="F276" s="39" cm="1">
        <f t="array" ref="F276">_xlfn.IFS( C276="Road",LOOKUP(D276,{0,50,150},Cost!$B$8:$B$10), C276="Barge",Cost!$B$11, C276="Rail",Cost!$B$12, TRUE,0 )</f>
        <v>1000000</v>
      </c>
      <c r="G276" s="88">
        <f>IF(C276="","",IFERROR(INDEX(Cost!$B$16:$B$18, MATCH("*" &amp; C276 &amp; "*", Cost!$A$2:$A$4, 0)), "Lỗi dữ liệu"))</f>
        <v>80000000</v>
      </c>
      <c r="H276" s="35">
        <v>1</v>
      </c>
      <c r="I276" s="40">
        <v>0</v>
      </c>
      <c r="J276" s="45"/>
      <c r="K276" s="47"/>
      <c r="L276" s="47"/>
      <c r="M276" s="47"/>
      <c r="N276" s="47"/>
      <c r="O276" s="47"/>
      <c r="P276" s="47"/>
      <c r="Q276" s="47"/>
      <c r="R276" s="47"/>
      <c r="S276" s="47"/>
      <c r="T276" s="47"/>
      <c r="U276" s="47"/>
      <c r="V276" s="47"/>
      <c r="W276" s="47"/>
      <c r="X276" s="47"/>
      <c r="Y276" s="47"/>
      <c r="Z276" s="47"/>
    </row>
    <row r="277" spans="1:26" ht="30" customHeight="1" x14ac:dyDescent="0.3">
      <c r="A277" s="46" t="s">
        <v>102</v>
      </c>
      <c r="B277" s="46" t="s">
        <v>63</v>
      </c>
      <c r="C277" s="20" t="s">
        <v>162</v>
      </c>
      <c r="D277" s="45">
        <v>48</v>
      </c>
      <c r="E277" s="86">
        <f t="array" ref="E277">IF(C277="","",IFERROR(INDEX(Cost!$B$2:$B$4, MATCH("*" &amp; C277 &amp; "*", Cost!$A$2:$A$4, 0)), "Lỗi dữ liệu"))</f>
        <v>1</v>
      </c>
      <c r="F277" s="39" cm="1">
        <f t="array" ref="F277">_xlfn.IFS( C277="Road",LOOKUP(D277,{0,50,150},Cost!$B$8:$B$10), C277="Barge",Cost!$B$11, C277="Rail",Cost!$B$12, TRUE,0 )</f>
        <v>800000</v>
      </c>
      <c r="G277" s="88">
        <f>IF(C277="","",IFERROR(INDEX(Cost!$B$16:$B$18, MATCH("*" &amp; C277 &amp; "*", Cost!$A$2:$A$4, 0)), "Lỗi dữ liệu"))</f>
        <v>6000000</v>
      </c>
      <c r="H277" s="35">
        <v>1</v>
      </c>
      <c r="I277" s="40">
        <v>0</v>
      </c>
      <c r="J277" s="45"/>
      <c r="K277" s="3"/>
      <c r="L277" s="3"/>
      <c r="M277" s="3"/>
      <c r="N277" s="3"/>
      <c r="O277" s="3"/>
      <c r="P277" s="3"/>
      <c r="Q277" s="3"/>
      <c r="R277" s="3"/>
      <c r="S277" s="3"/>
      <c r="T277" s="3"/>
      <c r="U277" s="3"/>
      <c r="V277" s="3"/>
      <c r="W277" s="3"/>
      <c r="X277" s="3"/>
      <c r="Y277" s="3"/>
      <c r="Z277" s="3"/>
    </row>
    <row r="278" spans="1:26" ht="30" customHeight="1" x14ac:dyDescent="0.3">
      <c r="A278" s="46" t="s">
        <v>102</v>
      </c>
      <c r="B278" s="46" t="s">
        <v>63</v>
      </c>
      <c r="C278" s="20" t="s">
        <v>152</v>
      </c>
      <c r="D278" s="45">
        <v>40</v>
      </c>
      <c r="E278" s="86">
        <f t="array" ref="E278">IF(C278="","",IFERROR(INDEX(Cost!$B$2:$B$4, MATCH("*" &amp; C278 &amp; "*", Cost!$A$2:$A$4, 0)), "Lỗi dữ liệu"))</f>
        <v>0.4</v>
      </c>
      <c r="F278" s="39" cm="1">
        <f t="array" ref="F278">_xlfn.IFS( C278="Road",LOOKUP(D278,{0,50,150},Cost!$B$8:$B$10), C278="Barge",Cost!$B$11, C278="Rail",Cost!$B$12, TRUE,0 )</f>
        <v>500000</v>
      </c>
      <c r="G278" s="88">
        <f>IF(C278="","",IFERROR(INDEX(Cost!$B$16:$B$18, MATCH("*" &amp; C278 &amp; "*", Cost!$A$2:$A$4, 0)), "Lỗi dữ liệu"))</f>
        <v>20000000</v>
      </c>
      <c r="H278" s="35">
        <v>1</v>
      </c>
      <c r="I278" s="40">
        <v>0</v>
      </c>
      <c r="J278" s="45"/>
      <c r="K278" s="3"/>
      <c r="L278" s="3"/>
      <c r="M278" s="3"/>
      <c r="N278" s="3"/>
      <c r="O278" s="3"/>
      <c r="P278" s="3"/>
      <c r="Q278" s="3"/>
      <c r="R278" s="3"/>
      <c r="S278" s="3"/>
      <c r="T278" s="3"/>
      <c r="U278" s="3"/>
      <c r="V278" s="3"/>
      <c r="W278" s="3"/>
      <c r="X278" s="3"/>
      <c r="Y278" s="3"/>
      <c r="Z278" s="3"/>
    </row>
    <row r="279" spans="1:26" ht="30" customHeight="1" x14ac:dyDescent="0.3">
      <c r="A279" s="46" t="s">
        <v>102</v>
      </c>
      <c r="B279" s="46" t="s">
        <v>63</v>
      </c>
      <c r="C279" s="20" t="s">
        <v>139</v>
      </c>
      <c r="D279" s="45">
        <v>48</v>
      </c>
      <c r="E279" s="86">
        <f t="array" ref="E279">IF(C279="","",IFERROR(INDEX(Cost!$B$2:$B$4, MATCH("*" &amp; C279 &amp; "*", Cost!$A$2:$A$4, 0)), "Lỗi dữ liệu"))</f>
        <v>0.25</v>
      </c>
      <c r="F279" s="39" cm="1">
        <f t="array" ref="F279">_xlfn.IFS( C279="Road",LOOKUP(D279,{0,50,150},Cost!$B$8:$B$10), C279="Barge",Cost!$B$11, C279="Rail",Cost!$B$12, TRUE,0 )</f>
        <v>1000000</v>
      </c>
      <c r="G279" s="88">
        <f>IF(C279="","",IFERROR(INDEX(Cost!$B$16:$B$18, MATCH("*" &amp; C279 &amp; "*", Cost!$A$2:$A$4, 0)), "Lỗi dữ liệu"))</f>
        <v>80000000</v>
      </c>
      <c r="H279" s="35">
        <v>1</v>
      </c>
      <c r="I279" s="40">
        <v>0</v>
      </c>
      <c r="J279" s="45"/>
      <c r="K279" s="3"/>
      <c r="L279" s="3"/>
      <c r="M279" s="3"/>
      <c r="N279" s="3"/>
      <c r="O279" s="3"/>
      <c r="P279" s="3"/>
      <c r="Q279" s="3"/>
      <c r="R279" s="3"/>
      <c r="S279" s="3"/>
      <c r="T279" s="3"/>
      <c r="U279" s="3"/>
      <c r="V279" s="3"/>
      <c r="W279" s="3"/>
      <c r="X279" s="3"/>
      <c r="Y279" s="3"/>
      <c r="Z279" s="3"/>
    </row>
    <row r="280" spans="1:26" ht="30" customHeight="1" x14ac:dyDescent="0.3">
      <c r="A280" s="46" t="s">
        <v>102</v>
      </c>
      <c r="B280" s="46" t="s">
        <v>66</v>
      </c>
      <c r="C280" s="20" t="s">
        <v>162</v>
      </c>
      <c r="D280" s="45">
        <v>39</v>
      </c>
      <c r="E280" s="86">
        <f t="array" ref="E280">IF(C280="","",IFERROR(INDEX(Cost!$B$2:$B$4, MATCH("*" &amp; C280 &amp; "*", Cost!$A$2:$A$4, 0)), "Lỗi dữ liệu"))</f>
        <v>1</v>
      </c>
      <c r="F280" s="39" cm="1">
        <f t="array" ref="F280">_xlfn.IFS( C280="Road",LOOKUP(D280,{0,50,150},Cost!$B$8:$B$10), C280="Barge",Cost!$B$11, C280="Rail",Cost!$B$12, TRUE,0 )</f>
        <v>800000</v>
      </c>
      <c r="G280" s="88">
        <f>IF(C280="","",IFERROR(INDEX(Cost!$B$16:$B$18, MATCH("*" &amp; C280 &amp; "*", Cost!$A$2:$A$4, 0)), "Lỗi dữ liệu"))</f>
        <v>6000000</v>
      </c>
      <c r="H280" s="35">
        <v>1</v>
      </c>
      <c r="I280" s="40">
        <v>0</v>
      </c>
      <c r="J280" s="45"/>
      <c r="K280" s="47"/>
      <c r="L280" s="47"/>
      <c r="M280" s="47"/>
      <c r="N280" s="47"/>
      <c r="O280" s="47"/>
      <c r="P280" s="47"/>
      <c r="Q280" s="47"/>
      <c r="R280" s="47"/>
      <c r="S280" s="47"/>
      <c r="T280" s="47"/>
      <c r="U280" s="47"/>
      <c r="V280" s="47"/>
      <c r="W280" s="47"/>
      <c r="X280" s="47"/>
      <c r="Y280" s="47"/>
      <c r="Z280" s="47"/>
    </row>
    <row r="281" spans="1:26" ht="30" customHeight="1" x14ac:dyDescent="0.3">
      <c r="A281" s="46" t="s">
        <v>102</v>
      </c>
      <c r="B281" s="46" t="s">
        <v>66</v>
      </c>
      <c r="C281" s="20" t="s">
        <v>152</v>
      </c>
      <c r="D281" s="45">
        <v>35</v>
      </c>
      <c r="E281" s="86">
        <f t="array" ref="E281">IF(C281="","",IFERROR(INDEX(Cost!$B$2:$B$4, MATCH("*" &amp; C281 &amp; "*", Cost!$A$2:$A$4, 0)), "Lỗi dữ liệu"))</f>
        <v>0.4</v>
      </c>
      <c r="F281" s="39" cm="1">
        <f t="array" ref="F281">_xlfn.IFS( C281="Road",LOOKUP(D281,{0,50,150},Cost!$B$8:$B$10), C281="Barge",Cost!$B$11, C281="Rail",Cost!$B$12, TRUE,0 )</f>
        <v>500000</v>
      </c>
      <c r="G281" s="88">
        <f>IF(C281="","",IFERROR(INDEX(Cost!$B$16:$B$18, MATCH("*" &amp; C281 &amp; "*", Cost!$A$2:$A$4, 0)), "Lỗi dữ liệu"))</f>
        <v>20000000</v>
      </c>
      <c r="H281" s="35">
        <v>1</v>
      </c>
      <c r="I281" s="40">
        <v>0</v>
      </c>
      <c r="J281" s="45"/>
      <c r="K281" s="47"/>
      <c r="L281" s="47"/>
      <c r="M281" s="47"/>
      <c r="N281" s="47"/>
      <c r="O281" s="47"/>
      <c r="P281" s="47"/>
      <c r="Q281" s="47"/>
      <c r="R281" s="47"/>
      <c r="S281" s="47"/>
      <c r="T281" s="47"/>
      <c r="U281" s="47"/>
      <c r="V281" s="47"/>
      <c r="W281" s="47"/>
      <c r="X281" s="47"/>
      <c r="Y281" s="47"/>
      <c r="Z281" s="47"/>
    </row>
    <row r="282" spans="1:26" ht="30" customHeight="1" x14ac:dyDescent="0.3">
      <c r="A282" s="46" t="s">
        <v>102</v>
      </c>
      <c r="B282" s="46" t="s">
        <v>66</v>
      </c>
      <c r="C282" s="20" t="s">
        <v>139</v>
      </c>
      <c r="D282" s="45">
        <v>40</v>
      </c>
      <c r="E282" s="86">
        <f t="array" ref="E282">IF(C282="","",IFERROR(INDEX(Cost!$B$2:$B$4, MATCH("*" &amp; C282 &amp; "*", Cost!$A$2:$A$4, 0)), "Lỗi dữ liệu"))</f>
        <v>0.25</v>
      </c>
      <c r="F282" s="39" cm="1">
        <f t="array" ref="F282">_xlfn.IFS( C282="Road",LOOKUP(D282,{0,50,150},Cost!$B$8:$B$10), C282="Barge",Cost!$B$11, C282="Rail",Cost!$B$12, TRUE,0 )</f>
        <v>1000000</v>
      </c>
      <c r="G282" s="88">
        <f>IF(C282="","",IFERROR(INDEX(Cost!$B$16:$B$18, MATCH("*" &amp; C282 &amp; "*", Cost!$A$2:$A$4, 0)), "Lỗi dữ liệu"))</f>
        <v>80000000</v>
      </c>
      <c r="H282" s="35">
        <v>1</v>
      </c>
      <c r="I282" s="40">
        <v>0</v>
      </c>
      <c r="J282" s="45"/>
      <c r="K282" s="47"/>
      <c r="L282" s="47"/>
      <c r="M282" s="47"/>
      <c r="N282" s="47"/>
      <c r="O282" s="47"/>
      <c r="P282" s="47"/>
      <c r="Q282" s="47"/>
      <c r="R282" s="47"/>
      <c r="S282" s="47"/>
      <c r="T282" s="47"/>
      <c r="U282" s="47"/>
      <c r="V282" s="47"/>
      <c r="W282" s="47"/>
      <c r="X282" s="47"/>
      <c r="Y282" s="47"/>
      <c r="Z282" s="47"/>
    </row>
    <row r="283" spans="1:26" ht="30" customHeight="1" x14ac:dyDescent="0.3">
      <c r="A283" s="46" t="s">
        <v>102</v>
      </c>
      <c r="B283" s="46" t="s">
        <v>82</v>
      </c>
      <c r="C283" s="20" t="s">
        <v>162</v>
      </c>
      <c r="D283" s="45">
        <v>28</v>
      </c>
      <c r="E283" s="86">
        <f t="array" ref="E283">IF(C283="","",IFERROR(INDEX(Cost!$B$2:$B$4, MATCH("*" &amp; C283 &amp; "*", Cost!$A$2:$A$4, 0)), "Lỗi dữ liệu"))</f>
        <v>1</v>
      </c>
      <c r="F283" s="39" cm="1">
        <f t="array" ref="F283">_xlfn.IFS( C283="Road",LOOKUP(D283,{0,50,150},Cost!$B$8:$B$10), C283="Barge",Cost!$B$11, C283="Rail",Cost!$B$12, TRUE,0 )</f>
        <v>800000</v>
      </c>
      <c r="G283" s="88">
        <f>IF(C283="","",IFERROR(INDEX(Cost!$B$16:$B$18, MATCH("*" &amp; C283 &amp; "*", Cost!$A$2:$A$4, 0)), "Lỗi dữ liệu"))</f>
        <v>6000000</v>
      </c>
      <c r="H283" s="35">
        <v>1</v>
      </c>
      <c r="I283" s="40">
        <v>0</v>
      </c>
      <c r="J283" s="45"/>
      <c r="K283" s="3"/>
      <c r="L283" s="3"/>
      <c r="M283" s="3"/>
      <c r="N283" s="3"/>
      <c r="O283" s="3"/>
      <c r="P283" s="3"/>
      <c r="Q283" s="3"/>
      <c r="R283" s="3"/>
      <c r="S283" s="3"/>
      <c r="T283" s="3"/>
      <c r="U283" s="3"/>
      <c r="V283" s="3"/>
      <c r="W283" s="3"/>
      <c r="X283" s="3"/>
      <c r="Y283" s="3"/>
      <c r="Z283" s="3"/>
    </row>
    <row r="284" spans="1:26" ht="30" customHeight="1" x14ac:dyDescent="0.3">
      <c r="A284" s="46" t="s">
        <v>102</v>
      </c>
      <c r="B284" s="46" t="s">
        <v>82</v>
      </c>
      <c r="C284" s="20" t="s">
        <v>152</v>
      </c>
      <c r="D284" s="45">
        <v>25</v>
      </c>
      <c r="E284" s="86">
        <f t="array" ref="E284">IF(C284="","",IFERROR(INDEX(Cost!$B$2:$B$4, MATCH("*" &amp; C284 &amp; "*", Cost!$A$2:$A$4, 0)), "Lỗi dữ liệu"))</f>
        <v>0.4</v>
      </c>
      <c r="F284" s="39" cm="1">
        <f t="array" ref="F284">_xlfn.IFS( C284="Road",LOOKUP(D284,{0,50,150},Cost!$B$8:$B$10), C284="Barge",Cost!$B$11, C284="Rail",Cost!$B$12, TRUE,0 )</f>
        <v>500000</v>
      </c>
      <c r="G284" s="88">
        <f>IF(C284="","",IFERROR(INDEX(Cost!$B$16:$B$18, MATCH("*" &amp; C284 &amp; "*", Cost!$A$2:$A$4, 0)), "Lỗi dữ liệu"))</f>
        <v>20000000</v>
      </c>
      <c r="H284" s="35">
        <v>1</v>
      </c>
      <c r="I284" s="40">
        <v>0</v>
      </c>
      <c r="J284" s="45"/>
      <c r="K284" s="3"/>
      <c r="L284" s="3"/>
      <c r="M284" s="3"/>
      <c r="N284" s="3"/>
      <c r="O284" s="3"/>
      <c r="P284" s="3"/>
      <c r="Q284" s="3"/>
      <c r="R284" s="3"/>
      <c r="S284" s="3"/>
      <c r="T284" s="3"/>
      <c r="U284" s="3"/>
      <c r="V284" s="3"/>
      <c r="W284" s="3"/>
      <c r="X284" s="3"/>
      <c r="Y284" s="3"/>
      <c r="Z284" s="3"/>
    </row>
    <row r="285" spans="1:26" ht="30" customHeight="1" x14ac:dyDescent="0.3">
      <c r="A285" s="46" t="s">
        <v>102</v>
      </c>
      <c r="B285" s="46" t="s">
        <v>82</v>
      </c>
      <c r="C285" s="20" t="s">
        <v>139</v>
      </c>
      <c r="D285" s="45">
        <v>29</v>
      </c>
      <c r="E285" s="86">
        <f t="array" ref="E285">IF(C285="","",IFERROR(INDEX(Cost!$B$2:$B$4, MATCH("*" &amp; C285 &amp; "*", Cost!$A$2:$A$4, 0)), "Lỗi dữ liệu"))</f>
        <v>0.25</v>
      </c>
      <c r="F285" s="39" cm="1">
        <f t="array" ref="F285">_xlfn.IFS( C285="Road",LOOKUP(D285,{0,50,150},Cost!$B$8:$B$10), C285="Barge",Cost!$B$11, C285="Rail",Cost!$B$12, TRUE,0 )</f>
        <v>1000000</v>
      </c>
      <c r="G285" s="88">
        <f>IF(C285="","",IFERROR(INDEX(Cost!$B$16:$B$18, MATCH("*" &amp; C285 &amp; "*", Cost!$A$2:$A$4, 0)), "Lỗi dữ liệu"))</f>
        <v>80000000</v>
      </c>
      <c r="H285" s="35">
        <v>1</v>
      </c>
      <c r="I285" s="40">
        <v>0</v>
      </c>
      <c r="J285" s="45"/>
      <c r="K285" s="3"/>
      <c r="L285" s="3"/>
      <c r="M285" s="3"/>
      <c r="N285" s="3"/>
      <c r="O285" s="3"/>
      <c r="P285" s="3"/>
      <c r="Q285" s="3"/>
      <c r="R285" s="3"/>
      <c r="S285" s="3"/>
      <c r="T285" s="3"/>
      <c r="U285" s="3"/>
      <c r="V285" s="3"/>
      <c r="W285" s="3"/>
      <c r="X285" s="3"/>
      <c r="Y285" s="3"/>
      <c r="Z285" s="3"/>
    </row>
    <row r="286" spans="1:26" ht="30" customHeight="1" x14ac:dyDescent="0.3">
      <c r="A286" s="46" t="s">
        <v>102</v>
      </c>
      <c r="B286" s="46" t="s">
        <v>119</v>
      </c>
      <c r="C286" s="20" t="s">
        <v>162</v>
      </c>
      <c r="D286" s="45">
        <v>25</v>
      </c>
      <c r="E286" s="86">
        <f t="array" ref="E286">IF(C286="","",IFERROR(INDEX(Cost!$B$2:$B$4, MATCH("*" &amp; C286 &amp; "*", Cost!$A$2:$A$4, 0)), "Lỗi dữ liệu"))</f>
        <v>1</v>
      </c>
      <c r="F286" s="39" cm="1">
        <f t="array" ref="F286">_xlfn.IFS( C286="Road",LOOKUP(D286,{0,50,150},Cost!$B$8:$B$10), C286="Barge",Cost!$B$11, C286="Rail",Cost!$B$12, TRUE,0 )</f>
        <v>800000</v>
      </c>
      <c r="G286" s="88">
        <f>IF(C286="","",IFERROR(INDEX(Cost!$B$16:$B$18, MATCH("*" &amp; C286 &amp; "*", Cost!$A$2:$A$4, 0)), "Lỗi dữ liệu"))</f>
        <v>6000000</v>
      </c>
      <c r="H286" s="35">
        <v>1</v>
      </c>
      <c r="I286" s="40">
        <v>0</v>
      </c>
      <c r="J286" s="45"/>
      <c r="K286" s="47"/>
      <c r="L286" s="47"/>
      <c r="M286" s="47"/>
      <c r="N286" s="47"/>
      <c r="O286" s="47"/>
      <c r="P286" s="47"/>
      <c r="Q286" s="47"/>
      <c r="R286" s="47"/>
      <c r="S286" s="47"/>
      <c r="T286" s="47"/>
      <c r="U286" s="47"/>
      <c r="V286" s="47"/>
      <c r="W286" s="47"/>
      <c r="X286" s="47"/>
      <c r="Y286" s="47"/>
      <c r="Z286" s="47"/>
    </row>
    <row r="287" spans="1:26" ht="30" customHeight="1" x14ac:dyDescent="0.3">
      <c r="A287" s="46" t="s">
        <v>102</v>
      </c>
      <c r="B287" s="46" t="s">
        <v>119</v>
      </c>
      <c r="C287" s="20" t="s">
        <v>152</v>
      </c>
      <c r="D287" s="45">
        <v>24</v>
      </c>
      <c r="E287" s="86">
        <f t="array" ref="E287">IF(C287="","",IFERROR(INDEX(Cost!$B$2:$B$4, MATCH("*" &amp; C287 &amp; "*", Cost!$A$2:$A$4, 0)), "Lỗi dữ liệu"))</f>
        <v>0.4</v>
      </c>
      <c r="F287" s="39" cm="1">
        <f t="array" ref="F287">_xlfn.IFS( C287="Road",LOOKUP(D287,{0,50,150},Cost!$B$8:$B$10), C287="Barge",Cost!$B$11, C287="Rail",Cost!$B$12, TRUE,0 )</f>
        <v>500000</v>
      </c>
      <c r="G287" s="88">
        <f>IF(C287="","",IFERROR(INDEX(Cost!$B$16:$B$18, MATCH("*" &amp; C287 &amp; "*", Cost!$A$2:$A$4, 0)), "Lỗi dữ liệu"))</f>
        <v>20000000</v>
      </c>
      <c r="H287" s="35">
        <v>1</v>
      </c>
      <c r="I287" s="40">
        <v>0</v>
      </c>
      <c r="J287" s="45"/>
      <c r="K287" s="47"/>
      <c r="L287" s="47"/>
      <c r="M287" s="47"/>
      <c r="N287" s="47"/>
      <c r="O287" s="47"/>
      <c r="P287" s="47"/>
      <c r="Q287" s="47"/>
      <c r="R287" s="47"/>
      <c r="S287" s="47"/>
      <c r="T287" s="47"/>
      <c r="U287" s="47"/>
      <c r="V287" s="47"/>
      <c r="W287" s="47"/>
      <c r="X287" s="47"/>
      <c r="Y287" s="47"/>
      <c r="Z287" s="47"/>
    </row>
    <row r="288" spans="1:26" ht="30" customHeight="1" x14ac:dyDescent="0.3">
      <c r="A288" s="46" t="s">
        <v>102</v>
      </c>
      <c r="B288" s="46" t="s">
        <v>119</v>
      </c>
      <c r="C288" s="20" t="s">
        <v>139</v>
      </c>
      <c r="D288" s="45">
        <v>28</v>
      </c>
      <c r="E288" s="86">
        <f t="array" ref="E288">IF(C288="","",IFERROR(INDEX(Cost!$B$2:$B$4, MATCH("*" &amp; C288 &amp; "*", Cost!$A$2:$A$4, 0)), "Lỗi dữ liệu"))</f>
        <v>0.25</v>
      </c>
      <c r="F288" s="39" cm="1">
        <f t="array" ref="F288">_xlfn.IFS( C288="Road",LOOKUP(D288,{0,50,150},Cost!$B$8:$B$10), C288="Barge",Cost!$B$11, C288="Rail",Cost!$B$12, TRUE,0 )</f>
        <v>1000000</v>
      </c>
      <c r="G288" s="88">
        <f>IF(C288="","",IFERROR(INDEX(Cost!$B$16:$B$18, MATCH("*" &amp; C288 &amp; "*", Cost!$A$2:$A$4, 0)), "Lỗi dữ liệu"))</f>
        <v>80000000</v>
      </c>
      <c r="H288" s="35">
        <v>1</v>
      </c>
      <c r="I288" s="40">
        <v>0</v>
      </c>
      <c r="J288" s="45"/>
      <c r="K288" s="47"/>
      <c r="L288" s="47"/>
      <c r="M288" s="47"/>
      <c r="N288" s="47"/>
      <c r="O288" s="47"/>
      <c r="P288" s="47"/>
      <c r="Q288" s="47"/>
      <c r="R288" s="47"/>
      <c r="S288" s="47"/>
      <c r="T288" s="47"/>
      <c r="U288" s="47"/>
      <c r="V288" s="47"/>
      <c r="W288" s="47"/>
      <c r="X288" s="47"/>
      <c r="Y288" s="47"/>
      <c r="Z288" s="47"/>
    </row>
    <row r="289" spans="1:26" ht="30" customHeight="1" x14ac:dyDescent="0.3">
      <c r="A289" s="46" t="s">
        <v>102</v>
      </c>
      <c r="B289" s="46" t="s">
        <v>126</v>
      </c>
      <c r="C289" s="20" t="s">
        <v>162</v>
      </c>
      <c r="D289" s="45">
        <v>14</v>
      </c>
      <c r="E289" s="86">
        <f t="array" ref="E289">IF(C289="","",IFERROR(INDEX(Cost!$B$2:$B$4, MATCH("*" &amp; C289 &amp; "*", Cost!$A$2:$A$4, 0)), "Lỗi dữ liệu"))</f>
        <v>1</v>
      </c>
      <c r="F289" s="39" cm="1">
        <f t="array" ref="F289">_xlfn.IFS( C289="Road",LOOKUP(D289,{0,50,150},Cost!$B$8:$B$10), C289="Barge",Cost!$B$11, C289="Rail",Cost!$B$12, TRUE,0 )</f>
        <v>800000</v>
      </c>
      <c r="G289" s="88">
        <f>IF(C289="","",IFERROR(INDEX(Cost!$B$16:$B$18, MATCH("*" &amp; C289 &amp; "*", Cost!$A$2:$A$4, 0)), "Lỗi dữ liệu"))</f>
        <v>6000000</v>
      </c>
      <c r="H289" s="35">
        <v>1</v>
      </c>
      <c r="I289" s="40">
        <v>0</v>
      </c>
      <c r="J289" s="45"/>
      <c r="K289" s="3"/>
      <c r="L289" s="3"/>
      <c r="M289" s="3"/>
      <c r="N289" s="3"/>
      <c r="O289" s="3"/>
      <c r="P289" s="3"/>
      <c r="Q289" s="3"/>
      <c r="R289" s="3"/>
      <c r="S289" s="3"/>
      <c r="T289" s="3"/>
      <c r="U289" s="3"/>
      <c r="V289" s="3"/>
      <c r="W289" s="3"/>
      <c r="X289" s="3"/>
      <c r="Y289" s="3"/>
      <c r="Z289" s="3"/>
    </row>
    <row r="290" spans="1:26" ht="30" customHeight="1" x14ac:dyDescent="0.3">
      <c r="A290" s="46" t="s">
        <v>102</v>
      </c>
      <c r="B290" s="46" t="s">
        <v>126</v>
      </c>
      <c r="C290" s="20" t="s">
        <v>152</v>
      </c>
      <c r="D290" s="45">
        <v>16</v>
      </c>
      <c r="E290" s="86">
        <f t="array" ref="E290">IF(C290="","",IFERROR(INDEX(Cost!$B$2:$B$4, MATCH("*" &amp; C290 &amp; "*", Cost!$A$2:$A$4, 0)), "Lỗi dữ liệu"))</f>
        <v>0.4</v>
      </c>
      <c r="F290" s="39" cm="1">
        <f t="array" ref="F290">_xlfn.IFS( C290="Road",LOOKUP(D290,{0,50,150},Cost!$B$8:$B$10), C290="Barge",Cost!$B$11, C290="Rail",Cost!$B$12, TRUE,0 )</f>
        <v>500000</v>
      </c>
      <c r="G290" s="88">
        <f>IF(C290="","",IFERROR(INDEX(Cost!$B$16:$B$18, MATCH("*" &amp; C290 &amp; "*", Cost!$A$2:$A$4, 0)), "Lỗi dữ liệu"))</f>
        <v>20000000</v>
      </c>
      <c r="H290" s="35">
        <v>1</v>
      </c>
      <c r="I290" s="40">
        <v>0</v>
      </c>
      <c r="J290" s="45"/>
      <c r="K290" s="3"/>
      <c r="L290" s="3"/>
      <c r="M290" s="3"/>
      <c r="N290" s="3"/>
      <c r="O290" s="3"/>
      <c r="P290" s="3"/>
      <c r="Q290" s="3"/>
      <c r="R290" s="3"/>
      <c r="S290" s="3"/>
      <c r="T290" s="3"/>
      <c r="U290" s="3"/>
      <c r="V290" s="3"/>
      <c r="W290" s="3"/>
      <c r="X290" s="3"/>
      <c r="Y290" s="3"/>
      <c r="Z290" s="3"/>
    </row>
    <row r="291" spans="1:26" ht="30" customHeight="1" x14ac:dyDescent="0.3">
      <c r="A291" s="46" t="s">
        <v>102</v>
      </c>
      <c r="B291" s="46" t="s">
        <v>126</v>
      </c>
      <c r="C291" s="20" t="s">
        <v>139</v>
      </c>
      <c r="D291" s="45">
        <v>19</v>
      </c>
      <c r="E291" s="86">
        <f t="array" ref="E291">IF(C291="","",IFERROR(INDEX(Cost!$B$2:$B$4, MATCH("*" &amp; C291 &amp; "*", Cost!$A$2:$A$4, 0)), "Lỗi dữ liệu"))</f>
        <v>0.25</v>
      </c>
      <c r="F291" s="39" cm="1">
        <f t="array" ref="F291">_xlfn.IFS( C291="Road",LOOKUP(D291,{0,50,150},Cost!$B$8:$B$10), C291="Barge",Cost!$B$11, C291="Rail",Cost!$B$12, TRUE,0 )</f>
        <v>1000000</v>
      </c>
      <c r="G291" s="88">
        <f>IF(C291="","",IFERROR(INDEX(Cost!$B$16:$B$18, MATCH("*" &amp; C291 &amp; "*", Cost!$A$2:$A$4, 0)), "Lỗi dữ liệu"))</f>
        <v>80000000</v>
      </c>
      <c r="H291" s="35">
        <v>1</v>
      </c>
      <c r="I291" s="40">
        <v>0</v>
      </c>
      <c r="J291" s="45"/>
      <c r="K291" s="3"/>
      <c r="L291" s="3"/>
      <c r="M291" s="3"/>
      <c r="N291" s="3"/>
      <c r="O291" s="3"/>
      <c r="P291" s="3"/>
      <c r="Q291" s="3"/>
      <c r="R291" s="3"/>
      <c r="S291" s="3"/>
      <c r="T291" s="3"/>
      <c r="U291" s="3"/>
      <c r="V291" s="3"/>
      <c r="W291" s="3"/>
      <c r="X291" s="3"/>
      <c r="Y291" s="3"/>
      <c r="Z291" s="3"/>
    </row>
    <row r="292" spans="1:26" ht="30" customHeight="1" x14ac:dyDescent="0.3">
      <c r="A292" s="57"/>
      <c r="B292" s="57"/>
      <c r="C292" s="21"/>
      <c r="D292" s="3"/>
      <c r="E292" s="22"/>
      <c r="F292" s="58"/>
      <c r="G292" s="59"/>
      <c r="H292" s="60"/>
      <c r="I292" s="11"/>
      <c r="J292" s="3"/>
      <c r="K292" s="3"/>
      <c r="L292" s="3"/>
      <c r="M292" s="3"/>
      <c r="N292" s="3"/>
      <c r="O292" s="3"/>
      <c r="P292" s="3"/>
      <c r="Q292" s="3"/>
      <c r="R292" s="3"/>
      <c r="S292" s="3"/>
      <c r="T292" s="3"/>
      <c r="U292" s="3"/>
      <c r="V292" s="3"/>
      <c r="W292" s="3"/>
      <c r="X292" s="3"/>
      <c r="Y292" s="3"/>
      <c r="Z292" s="3"/>
    </row>
    <row r="293" spans="1:26" ht="30" customHeight="1" x14ac:dyDescent="0.3">
      <c r="A293" s="57"/>
      <c r="B293" s="57"/>
      <c r="C293" s="21"/>
      <c r="D293" s="3"/>
      <c r="E293" s="22"/>
      <c r="F293" s="58"/>
      <c r="G293" s="59"/>
      <c r="H293" s="60"/>
      <c r="I293" s="11"/>
      <c r="J293" s="3"/>
      <c r="K293" s="3"/>
      <c r="L293" s="3"/>
      <c r="M293" s="3"/>
      <c r="N293" s="3"/>
      <c r="O293" s="3"/>
      <c r="P293" s="3"/>
      <c r="Q293" s="3"/>
      <c r="R293" s="3"/>
      <c r="S293" s="3"/>
      <c r="T293" s="3"/>
      <c r="U293" s="3"/>
      <c r="V293" s="3"/>
      <c r="W293" s="3"/>
      <c r="X293" s="3"/>
      <c r="Y293" s="3"/>
      <c r="Z293" s="3"/>
    </row>
    <row r="294" spans="1:26" ht="30" customHeight="1" x14ac:dyDescent="0.3">
      <c r="A294" s="57"/>
      <c r="B294" s="57"/>
      <c r="C294" s="21"/>
      <c r="D294" s="3"/>
      <c r="E294" s="22"/>
      <c r="F294" s="58"/>
      <c r="G294" s="59"/>
      <c r="H294" s="60"/>
      <c r="I294" s="11"/>
      <c r="J294" s="3"/>
      <c r="K294" s="3"/>
      <c r="L294" s="3"/>
      <c r="M294" s="3"/>
      <c r="N294" s="3"/>
      <c r="O294" s="3"/>
      <c r="P294" s="3"/>
      <c r="Q294" s="3"/>
      <c r="R294" s="3"/>
      <c r="S294" s="3"/>
      <c r="T294" s="3"/>
      <c r="U294" s="3"/>
      <c r="V294" s="3"/>
      <c r="W294" s="3"/>
      <c r="X294" s="3"/>
      <c r="Y294" s="3"/>
      <c r="Z294" s="3"/>
    </row>
    <row r="295" spans="1:26" ht="30" customHeight="1" x14ac:dyDescent="0.3">
      <c r="A295" s="57"/>
      <c r="B295" s="57"/>
      <c r="C295" s="21"/>
      <c r="D295" s="3"/>
      <c r="E295" s="22"/>
      <c r="F295" s="58"/>
      <c r="G295" s="59"/>
      <c r="H295" s="60"/>
      <c r="I295" s="11"/>
      <c r="J295" s="3"/>
      <c r="K295" s="3"/>
      <c r="L295" s="3"/>
      <c r="M295" s="3"/>
      <c r="N295" s="3"/>
      <c r="O295" s="3"/>
      <c r="P295" s="3"/>
      <c r="Q295" s="3"/>
      <c r="R295" s="3"/>
      <c r="S295" s="3"/>
      <c r="T295" s="3"/>
      <c r="U295" s="3"/>
      <c r="V295" s="3"/>
      <c r="W295" s="3"/>
      <c r="X295" s="3"/>
      <c r="Y295" s="3"/>
      <c r="Z295" s="3"/>
    </row>
    <row r="296" spans="1:26" ht="30" customHeight="1" x14ac:dyDescent="0.3">
      <c r="A296" s="57"/>
      <c r="B296" s="57"/>
      <c r="C296" s="21"/>
      <c r="D296" s="3"/>
      <c r="E296" s="22"/>
      <c r="F296" s="58"/>
      <c r="G296" s="59"/>
      <c r="H296" s="60"/>
      <c r="I296" s="11"/>
      <c r="J296" s="3"/>
      <c r="K296" s="3"/>
      <c r="L296" s="3"/>
      <c r="M296" s="3"/>
      <c r="N296" s="3"/>
      <c r="O296" s="3"/>
      <c r="P296" s="3"/>
      <c r="Q296" s="3"/>
      <c r="R296" s="3"/>
      <c r="S296" s="3"/>
      <c r="T296" s="3"/>
      <c r="U296" s="3"/>
      <c r="V296" s="3"/>
      <c r="W296" s="3"/>
      <c r="X296" s="3"/>
      <c r="Y296" s="3"/>
      <c r="Z296" s="3"/>
    </row>
    <row r="297" spans="1:26" ht="30" customHeight="1" x14ac:dyDescent="0.3">
      <c r="A297" s="57"/>
      <c r="B297" s="57"/>
      <c r="C297" s="21"/>
      <c r="D297" s="3"/>
      <c r="E297" s="22"/>
      <c r="F297" s="58"/>
      <c r="G297" s="59"/>
      <c r="H297" s="60"/>
      <c r="I297" s="11"/>
      <c r="J297" s="3"/>
      <c r="K297" s="3"/>
      <c r="L297" s="3"/>
      <c r="M297" s="3"/>
      <c r="N297" s="3"/>
      <c r="O297" s="3"/>
      <c r="P297" s="3"/>
      <c r="Q297" s="3"/>
      <c r="R297" s="3"/>
      <c r="S297" s="3"/>
      <c r="T297" s="3"/>
      <c r="U297" s="3"/>
      <c r="V297" s="3"/>
      <c r="W297" s="3"/>
      <c r="X297" s="3"/>
      <c r="Y297" s="3"/>
      <c r="Z297" s="3"/>
    </row>
    <row r="298" spans="1:26" ht="30" customHeight="1" x14ac:dyDescent="0.3">
      <c r="A298" s="57"/>
      <c r="B298" s="57"/>
      <c r="C298" s="21"/>
      <c r="D298" s="3"/>
      <c r="E298" s="22"/>
      <c r="F298" s="58"/>
      <c r="G298" s="59"/>
      <c r="H298" s="60"/>
      <c r="I298" s="11"/>
      <c r="J298" s="3"/>
      <c r="K298" s="3"/>
      <c r="L298" s="3"/>
      <c r="M298" s="3"/>
      <c r="N298" s="3"/>
      <c r="O298" s="3"/>
      <c r="P298" s="3"/>
      <c r="Q298" s="3"/>
      <c r="R298" s="3"/>
      <c r="S298" s="3"/>
      <c r="T298" s="3"/>
      <c r="U298" s="3"/>
      <c r="V298" s="3"/>
      <c r="W298" s="3"/>
      <c r="X298" s="3"/>
      <c r="Y298" s="3"/>
      <c r="Z298" s="3"/>
    </row>
    <row r="299" spans="1:26" ht="30" customHeight="1" x14ac:dyDescent="0.3">
      <c r="A299" s="57"/>
      <c r="B299" s="57"/>
      <c r="C299" s="21"/>
      <c r="D299" s="3"/>
      <c r="E299" s="22"/>
      <c r="F299" s="58"/>
      <c r="G299" s="59"/>
      <c r="H299" s="60"/>
      <c r="I299" s="11"/>
      <c r="J299" s="3"/>
      <c r="K299" s="3"/>
      <c r="L299" s="3"/>
      <c r="M299" s="3"/>
      <c r="N299" s="3"/>
      <c r="O299" s="3"/>
      <c r="P299" s="3"/>
      <c r="Q299" s="3"/>
      <c r="R299" s="3"/>
      <c r="S299" s="3"/>
      <c r="T299" s="3"/>
      <c r="U299" s="3"/>
      <c r="V299" s="3"/>
      <c r="W299" s="3"/>
      <c r="X299" s="3"/>
      <c r="Y299" s="3"/>
      <c r="Z299" s="3"/>
    </row>
    <row r="300" spans="1:26" ht="30" customHeight="1" x14ac:dyDescent="0.3">
      <c r="A300" s="57"/>
      <c r="B300" s="57"/>
      <c r="C300" s="21"/>
      <c r="D300" s="3"/>
      <c r="E300" s="22"/>
      <c r="F300" s="58"/>
      <c r="G300" s="59"/>
      <c r="H300" s="60"/>
      <c r="I300" s="11"/>
      <c r="J300" s="3"/>
      <c r="K300" s="3"/>
      <c r="L300" s="3"/>
      <c r="M300" s="3"/>
      <c r="N300" s="3"/>
      <c r="O300" s="3"/>
      <c r="P300" s="3"/>
      <c r="Q300" s="3"/>
      <c r="R300" s="3"/>
      <c r="S300" s="3"/>
      <c r="T300" s="3"/>
      <c r="U300" s="3"/>
      <c r="V300" s="3"/>
      <c r="W300" s="3"/>
      <c r="X300" s="3"/>
      <c r="Y300" s="3"/>
      <c r="Z300" s="3"/>
    </row>
    <row r="301" spans="1:26" ht="30" customHeight="1" x14ac:dyDescent="0.3">
      <c r="A301" s="57"/>
      <c r="B301" s="57"/>
      <c r="C301" s="21"/>
      <c r="D301" s="3"/>
      <c r="E301" s="22"/>
      <c r="F301" s="58"/>
      <c r="G301" s="59"/>
      <c r="H301" s="60"/>
      <c r="I301" s="11"/>
      <c r="J301" s="3"/>
      <c r="K301" s="3"/>
      <c r="L301" s="3"/>
      <c r="M301" s="3"/>
      <c r="N301" s="3"/>
      <c r="O301" s="3"/>
      <c r="P301" s="3"/>
      <c r="Q301" s="3"/>
      <c r="R301" s="3"/>
      <c r="S301" s="3"/>
      <c r="T301" s="3"/>
      <c r="U301" s="3"/>
      <c r="V301" s="3"/>
      <c r="W301" s="3"/>
      <c r="X301" s="3"/>
      <c r="Y301" s="3"/>
      <c r="Z301" s="3"/>
    </row>
  </sheetData>
  <autoFilter ref="A1:J291" xr:uid="{00000000-0001-0000-0300-000000000000}"/>
  <dataValidations count="1">
    <dataValidation type="list" allowBlank="1" showErrorMessage="1" sqref="C2:C291" xr:uid="{00000000-0002-0000-0300-000000000000}">
      <formula1>"Barge,Road,Rail"</formula1>
    </dataValidation>
  </dataValidations>
  <pageMargins left="0.7" right="0.7" top="0.75" bottom="0.75" header="0" footer="0"/>
  <pageSetup paperSize="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X995"/>
  <sheetViews>
    <sheetView workbookViewId="0">
      <selection activeCell="F11" sqref="F11"/>
    </sheetView>
  </sheetViews>
  <sheetFormatPr defaultColWidth="11.19921875" defaultRowHeight="15" customHeight="1" x14ac:dyDescent="0.3"/>
  <cols>
    <col min="1" max="1" width="23.09765625" customWidth="1"/>
    <col min="2" max="2" width="18.296875" customWidth="1"/>
    <col min="3" max="3" width="15.796875" bestFit="1" customWidth="1"/>
    <col min="4" max="4" width="11.19921875" customWidth="1"/>
  </cols>
  <sheetData>
    <row r="1" spans="1:24" ht="15.6" x14ac:dyDescent="0.3">
      <c r="A1" s="61" t="s">
        <v>163</v>
      </c>
      <c r="B1" s="62" t="s">
        <v>164</v>
      </c>
      <c r="C1" s="3"/>
      <c r="D1" s="3"/>
      <c r="E1" s="3"/>
      <c r="F1" s="3"/>
      <c r="G1" s="3"/>
      <c r="H1" s="3"/>
      <c r="I1" s="3"/>
      <c r="J1" s="3"/>
      <c r="K1" s="3"/>
      <c r="L1" s="3"/>
      <c r="M1" s="3"/>
      <c r="N1" s="3"/>
      <c r="O1" s="3"/>
      <c r="P1" s="3"/>
      <c r="Q1" s="3"/>
      <c r="R1" s="3"/>
      <c r="S1" s="3"/>
      <c r="T1" s="3"/>
      <c r="U1" s="3"/>
      <c r="V1" s="3"/>
      <c r="W1" s="3"/>
      <c r="X1" s="3"/>
    </row>
    <row r="2" spans="1:24" ht="15.6" x14ac:dyDescent="0.3">
      <c r="A2" s="20" t="s">
        <v>24</v>
      </c>
      <c r="B2" s="63">
        <v>1300</v>
      </c>
      <c r="C2" s="64" t="s">
        <v>165</v>
      </c>
      <c r="D2" s="3"/>
      <c r="E2" s="3"/>
      <c r="F2" s="3"/>
      <c r="G2" s="3"/>
      <c r="H2" s="3"/>
      <c r="I2" s="3"/>
      <c r="J2" s="3"/>
      <c r="K2" s="3"/>
      <c r="L2" s="3"/>
      <c r="M2" s="3"/>
      <c r="N2" s="3"/>
      <c r="O2" s="3"/>
      <c r="P2" s="3"/>
      <c r="Q2" s="3"/>
      <c r="R2" s="3"/>
      <c r="S2" s="3"/>
      <c r="T2" s="3"/>
      <c r="U2" s="3"/>
      <c r="V2" s="3"/>
      <c r="W2" s="3"/>
      <c r="X2" s="3"/>
    </row>
    <row r="3" spans="1:24" ht="15" customHeight="1" x14ac:dyDescent="0.3">
      <c r="A3" s="45" t="s">
        <v>82</v>
      </c>
      <c r="B3" s="63">
        <v>2000</v>
      </c>
      <c r="C3" s="3"/>
      <c r="D3" s="3"/>
      <c r="E3" s="3"/>
      <c r="F3" s="3"/>
      <c r="G3" s="3"/>
      <c r="H3" s="3"/>
      <c r="I3" s="3"/>
      <c r="J3" s="3"/>
      <c r="K3" s="3"/>
      <c r="L3" s="3"/>
      <c r="M3" s="3"/>
      <c r="N3" s="3"/>
      <c r="O3" s="3"/>
      <c r="P3" s="3"/>
      <c r="Q3" s="3"/>
      <c r="R3" s="3"/>
      <c r="S3" s="3"/>
      <c r="T3" s="3"/>
      <c r="U3" s="3"/>
      <c r="V3" s="3"/>
      <c r="W3" s="3"/>
      <c r="X3" s="3"/>
    </row>
    <row r="4" spans="1:24" ht="15.6" x14ac:dyDescent="0.3">
      <c r="A4" s="70" t="s">
        <v>17</v>
      </c>
      <c r="B4" s="63">
        <v>700</v>
      </c>
      <c r="C4" s="3"/>
      <c r="D4" s="3"/>
      <c r="E4" s="3"/>
      <c r="F4" s="3"/>
      <c r="G4" s="3"/>
      <c r="H4" s="3"/>
      <c r="I4" s="3"/>
      <c r="J4" s="3"/>
      <c r="K4" s="3"/>
      <c r="L4" s="3"/>
      <c r="M4" s="3"/>
      <c r="N4" s="3"/>
      <c r="O4" s="3"/>
      <c r="P4" s="3"/>
      <c r="Q4" s="3"/>
      <c r="R4" s="3"/>
      <c r="S4" s="3"/>
      <c r="T4" s="3"/>
      <c r="U4" s="3"/>
      <c r="V4" s="3"/>
      <c r="W4" s="3"/>
      <c r="X4" s="3"/>
    </row>
    <row r="5" spans="1:24" ht="15.6" x14ac:dyDescent="0.3">
      <c r="A5" s="60"/>
      <c r="B5" s="65"/>
      <c r="C5" s="3"/>
      <c r="D5" s="3"/>
      <c r="E5" s="3"/>
      <c r="F5" s="3"/>
      <c r="G5" s="3"/>
      <c r="H5" s="3"/>
      <c r="I5" s="3"/>
      <c r="J5" s="3"/>
      <c r="K5" s="3"/>
      <c r="L5" s="3"/>
      <c r="M5" s="3"/>
      <c r="N5" s="3"/>
      <c r="O5" s="3"/>
      <c r="P5" s="3"/>
      <c r="Q5" s="3"/>
      <c r="R5" s="3"/>
      <c r="S5" s="3"/>
      <c r="T5" s="3"/>
      <c r="U5" s="3"/>
      <c r="V5" s="3"/>
      <c r="W5" s="3"/>
      <c r="X5" s="3"/>
    </row>
    <row r="6" spans="1:24" ht="15.6" x14ac:dyDescent="0.3">
      <c r="A6" s="3"/>
      <c r="B6" s="65"/>
      <c r="C6" s="3"/>
      <c r="D6" s="3"/>
      <c r="E6" s="3"/>
      <c r="F6" s="3"/>
      <c r="G6" s="3"/>
      <c r="H6" s="3"/>
      <c r="I6" s="3"/>
      <c r="J6" s="3"/>
      <c r="K6" s="3"/>
      <c r="L6" s="3"/>
      <c r="M6" s="3"/>
      <c r="N6" s="3"/>
      <c r="O6" s="3"/>
      <c r="P6" s="3"/>
      <c r="Q6" s="3"/>
      <c r="R6" s="3"/>
      <c r="S6" s="3"/>
      <c r="T6" s="3"/>
      <c r="U6" s="3"/>
      <c r="V6" s="3"/>
      <c r="W6" s="3"/>
      <c r="X6" s="3"/>
    </row>
    <row r="7" spans="1:24" ht="15.6" x14ac:dyDescent="0.3">
      <c r="A7" s="3"/>
      <c r="B7" s="65"/>
      <c r="C7" s="3"/>
      <c r="D7" s="3"/>
      <c r="E7" s="3"/>
      <c r="F7" s="3"/>
      <c r="G7" s="3"/>
      <c r="H7" s="3"/>
      <c r="I7" s="3"/>
      <c r="J7" s="3"/>
      <c r="K7" s="3"/>
      <c r="L7" s="3"/>
      <c r="M7" s="3"/>
      <c r="N7" s="3"/>
      <c r="O7" s="3"/>
      <c r="P7" s="3"/>
      <c r="Q7" s="3"/>
      <c r="R7" s="3"/>
      <c r="S7" s="3"/>
      <c r="T7" s="3"/>
      <c r="U7" s="3"/>
      <c r="V7" s="3"/>
      <c r="W7" s="3"/>
      <c r="X7" s="3"/>
    </row>
    <row r="8" spans="1:24" ht="15.6" x14ac:dyDescent="0.3">
      <c r="A8" s="3"/>
      <c r="B8" s="65"/>
      <c r="C8" s="3"/>
      <c r="D8" s="3"/>
      <c r="E8" s="3"/>
      <c r="F8" s="3"/>
      <c r="G8" s="3"/>
      <c r="H8" s="3"/>
      <c r="I8" s="3"/>
      <c r="J8" s="3"/>
      <c r="K8" s="3"/>
      <c r="L8" s="3"/>
      <c r="M8" s="3"/>
      <c r="N8" s="3"/>
      <c r="O8" s="3"/>
      <c r="P8" s="3"/>
      <c r="Q8" s="3"/>
      <c r="R8" s="3"/>
      <c r="S8" s="3"/>
      <c r="T8" s="3"/>
      <c r="U8" s="3"/>
      <c r="V8" s="3"/>
      <c r="W8" s="3"/>
      <c r="X8" s="3"/>
    </row>
    <row r="9" spans="1:24" ht="15.6" x14ac:dyDescent="0.3">
      <c r="A9" s="3"/>
      <c r="B9" s="65"/>
      <c r="C9" s="3"/>
      <c r="D9" s="3"/>
      <c r="E9" s="3"/>
      <c r="F9" s="3"/>
      <c r="G9" s="3"/>
      <c r="H9" s="3"/>
      <c r="I9" s="3"/>
      <c r="J9" s="3"/>
      <c r="K9" s="3"/>
      <c r="L9" s="3"/>
      <c r="M9" s="3"/>
      <c r="N9" s="3"/>
      <c r="O9" s="3"/>
      <c r="P9" s="3"/>
      <c r="Q9" s="3"/>
      <c r="R9" s="3"/>
      <c r="S9" s="3"/>
      <c r="T9" s="3"/>
      <c r="U9" s="3"/>
      <c r="V9" s="3"/>
      <c r="W9" s="3"/>
      <c r="X9" s="3"/>
    </row>
    <row r="10" spans="1:24" ht="15.6" x14ac:dyDescent="0.3">
      <c r="A10" s="3"/>
      <c r="B10" s="65"/>
      <c r="C10" s="3"/>
      <c r="D10" s="3"/>
      <c r="E10" s="3"/>
      <c r="F10" s="3"/>
      <c r="G10" s="3"/>
      <c r="H10" s="3"/>
      <c r="I10" s="3"/>
      <c r="J10" s="3"/>
      <c r="K10" s="3"/>
      <c r="L10" s="3"/>
      <c r="M10" s="3"/>
      <c r="N10" s="3"/>
      <c r="O10" s="3"/>
      <c r="P10" s="3"/>
      <c r="Q10" s="3"/>
      <c r="R10" s="3"/>
      <c r="S10" s="3"/>
      <c r="T10" s="3"/>
      <c r="U10" s="3"/>
      <c r="V10" s="3"/>
      <c r="W10" s="3"/>
      <c r="X10" s="3"/>
    </row>
    <row r="11" spans="1:24" ht="15.6" x14ac:dyDescent="0.3">
      <c r="A11" s="3"/>
      <c r="B11" s="65"/>
      <c r="C11" s="3"/>
      <c r="D11" s="3"/>
      <c r="E11" s="3"/>
      <c r="F11" s="3"/>
      <c r="G11" s="3"/>
      <c r="H11" s="3"/>
      <c r="I11" s="3"/>
      <c r="J11" s="3"/>
      <c r="K11" s="3"/>
      <c r="L11" s="3"/>
      <c r="M11" s="3"/>
      <c r="N11" s="3"/>
      <c r="O11" s="3"/>
      <c r="P11" s="3"/>
      <c r="Q11" s="3"/>
      <c r="R11" s="3"/>
      <c r="S11" s="3"/>
      <c r="T11" s="3"/>
      <c r="U11" s="3"/>
      <c r="V11" s="3"/>
      <c r="W11" s="3"/>
      <c r="X11" s="3"/>
    </row>
    <row r="12" spans="1:24" ht="15.6" x14ac:dyDescent="0.3">
      <c r="A12" s="3"/>
      <c r="B12" s="65"/>
      <c r="C12" s="3"/>
      <c r="D12" s="3"/>
      <c r="E12" s="3"/>
      <c r="F12" s="3"/>
      <c r="G12" s="3"/>
      <c r="H12" s="3"/>
      <c r="I12" s="3"/>
      <c r="J12" s="3"/>
      <c r="K12" s="3"/>
      <c r="L12" s="3"/>
      <c r="M12" s="3"/>
      <c r="N12" s="3"/>
      <c r="O12" s="3"/>
      <c r="P12" s="3"/>
      <c r="Q12" s="3"/>
      <c r="R12" s="3"/>
      <c r="S12" s="3"/>
      <c r="T12" s="3"/>
      <c r="U12" s="3"/>
      <c r="V12" s="3"/>
      <c r="W12" s="3"/>
      <c r="X12" s="3"/>
    </row>
    <row r="13" spans="1:24" ht="15.6" x14ac:dyDescent="0.3">
      <c r="A13" s="3"/>
      <c r="B13" s="65"/>
      <c r="C13" s="3"/>
      <c r="D13" s="3"/>
      <c r="E13" s="3"/>
      <c r="F13" s="3"/>
      <c r="G13" s="3"/>
      <c r="H13" s="3"/>
      <c r="I13" s="3"/>
      <c r="J13" s="3"/>
      <c r="K13" s="3"/>
      <c r="L13" s="3"/>
      <c r="M13" s="3"/>
      <c r="N13" s="3"/>
      <c r="O13" s="3"/>
      <c r="P13" s="3"/>
      <c r="Q13" s="3"/>
      <c r="R13" s="3"/>
      <c r="S13" s="3"/>
      <c r="T13" s="3"/>
      <c r="U13" s="3"/>
      <c r="V13" s="3"/>
      <c r="W13" s="3"/>
      <c r="X13" s="3"/>
    </row>
    <row r="14" spans="1:24" ht="15.6" x14ac:dyDescent="0.3">
      <c r="A14" s="3"/>
      <c r="B14" s="65"/>
      <c r="C14" s="3"/>
      <c r="D14" s="3"/>
      <c r="E14" s="3"/>
      <c r="F14" s="3"/>
      <c r="G14" s="3"/>
      <c r="H14" s="3"/>
      <c r="I14" s="3"/>
      <c r="J14" s="3"/>
      <c r="K14" s="3"/>
      <c r="L14" s="3"/>
      <c r="M14" s="3"/>
      <c r="N14" s="3"/>
      <c r="O14" s="3"/>
      <c r="P14" s="3"/>
      <c r="Q14" s="3"/>
      <c r="R14" s="3"/>
      <c r="S14" s="3"/>
      <c r="T14" s="3"/>
      <c r="U14" s="3"/>
      <c r="V14" s="3"/>
      <c r="W14" s="3"/>
      <c r="X14" s="3"/>
    </row>
    <row r="15" spans="1:24" ht="15.6" x14ac:dyDescent="0.3">
      <c r="A15" s="3"/>
      <c r="B15" s="65"/>
      <c r="C15" s="3"/>
      <c r="D15" s="3"/>
      <c r="E15" s="3"/>
      <c r="F15" s="3"/>
      <c r="G15" s="3"/>
      <c r="H15" s="3"/>
      <c r="I15" s="3"/>
      <c r="J15" s="3"/>
      <c r="K15" s="3"/>
      <c r="L15" s="3"/>
      <c r="M15" s="3"/>
      <c r="N15" s="3"/>
      <c r="O15" s="3"/>
      <c r="P15" s="3"/>
      <c r="Q15" s="3"/>
      <c r="R15" s="3"/>
      <c r="S15" s="3"/>
      <c r="T15" s="3"/>
      <c r="U15" s="3"/>
      <c r="V15" s="3"/>
      <c r="W15" s="3"/>
      <c r="X15" s="3"/>
    </row>
    <row r="16" spans="1:24" ht="15.75" customHeight="1" x14ac:dyDescent="0.3">
      <c r="A16" s="3"/>
      <c r="B16" s="65"/>
      <c r="C16" s="3"/>
      <c r="D16" s="3"/>
      <c r="E16" s="3"/>
      <c r="F16" s="3"/>
      <c r="G16" s="3"/>
      <c r="H16" s="3"/>
      <c r="I16" s="3"/>
      <c r="J16" s="3"/>
      <c r="K16" s="3"/>
      <c r="L16" s="3"/>
      <c r="M16" s="3"/>
      <c r="N16" s="3"/>
      <c r="O16" s="3"/>
      <c r="P16" s="3"/>
      <c r="Q16" s="3"/>
      <c r="R16" s="3"/>
      <c r="S16" s="3"/>
      <c r="T16" s="3"/>
      <c r="U16" s="3"/>
      <c r="V16" s="3"/>
      <c r="W16" s="3"/>
      <c r="X16" s="3"/>
    </row>
    <row r="17" spans="1:24" ht="15.75" customHeight="1" x14ac:dyDescent="0.3">
      <c r="A17" s="3"/>
      <c r="B17" s="65"/>
      <c r="C17" s="3"/>
      <c r="D17" s="3"/>
      <c r="E17" s="3"/>
      <c r="F17" s="3"/>
      <c r="G17" s="3"/>
      <c r="H17" s="3"/>
      <c r="I17" s="3"/>
      <c r="J17" s="3"/>
      <c r="K17" s="3"/>
      <c r="L17" s="3"/>
      <c r="M17" s="3"/>
      <c r="N17" s="3"/>
      <c r="O17" s="3"/>
      <c r="P17" s="3"/>
      <c r="Q17" s="3"/>
      <c r="R17" s="3"/>
      <c r="S17" s="3"/>
      <c r="T17" s="3"/>
      <c r="U17" s="3"/>
      <c r="V17" s="3"/>
      <c r="W17" s="3"/>
      <c r="X17" s="3"/>
    </row>
    <row r="18" spans="1:24" ht="15.75" customHeight="1" x14ac:dyDescent="0.3">
      <c r="A18" s="3"/>
      <c r="B18" s="65"/>
      <c r="C18" s="3"/>
      <c r="D18" s="3"/>
      <c r="E18" s="3"/>
      <c r="F18" s="3"/>
      <c r="G18" s="3"/>
      <c r="H18" s="3"/>
      <c r="I18" s="3"/>
      <c r="J18" s="3"/>
      <c r="K18" s="3"/>
      <c r="L18" s="3"/>
      <c r="M18" s="3"/>
      <c r="N18" s="3"/>
      <c r="O18" s="3"/>
      <c r="P18" s="3"/>
      <c r="Q18" s="3"/>
      <c r="R18" s="3"/>
      <c r="S18" s="3"/>
      <c r="T18" s="3"/>
      <c r="U18" s="3"/>
      <c r="V18" s="3"/>
      <c r="W18" s="3"/>
      <c r="X18" s="3"/>
    </row>
    <row r="19" spans="1:24" ht="15.75" customHeight="1" x14ac:dyDescent="0.3">
      <c r="A19" s="3"/>
      <c r="B19" s="65"/>
      <c r="C19" s="3"/>
      <c r="D19" s="3"/>
      <c r="E19" s="3"/>
      <c r="F19" s="3"/>
      <c r="G19" s="3"/>
      <c r="H19" s="3"/>
      <c r="I19" s="3"/>
      <c r="J19" s="3"/>
      <c r="K19" s="3"/>
      <c r="L19" s="3"/>
      <c r="M19" s="3"/>
      <c r="N19" s="3"/>
      <c r="O19" s="3"/>
      <c r="P19" s="3"/>
      <c r="Q19" s="3"/>
      <c r="R19" s="3"/>
      <c r="S19" s="3"/>
      <c r="T19" s="3"/>
      <c r="U19" s="3"/>
      <c r="V19" s="3"/>
      <c r="W19" s="3"/>
      <c r="X19" s="3"/>
    </row>
    <row r="20" spans="1:24" ht="15.75" customHeight="1" x14ac:dyDescent="0.3">
      <c r="A20" s="3"/>
      <c r="B20" s="65"/>
      <c r="C20" s="3"/>
      <c r="D20" s="3"/>
      <c r="E20" s="3"/>
      <c r="F20" s="3"/>
      <c r="G20" s="3"/>
      <c r="H20" s="3"/>
      <c r="I20" s="3"/>
      <c r="J20" s="3"/>
      <c r="K20" s="3"/>
      <c r="L20" s="3"/>
      <c r="M20" s="3"/>
      <c r="N20" s="3"/>
      <c r="O20" s="3"/>
      <c r="P20" s="3"/>
      <c r="Q20" s="3"/>
      <c r="R20" s="3"/>
      <c r="S20" s="3"/>
      <c r="T20" s="3"/>
      <c r="U20" s="3"/>
      <c r="V20" s="3"/>
      <c r="W20" s="3"/>
      <c r="X20" s="3"/>
    </row>
    <row r="21" spans="1:24" ht="15.75" customHeight="1" x14ac:dyDescent="0.3">
      <c r="A21" s="3"/>
      <c r="B21" s="65"/>
      <c r="C21" s="3"/>
      <c r="D21" s="3"/>
      <c r="E21" s="3"/>
      <c r="F21" s="3"/>
      <c r="G21" s="3"/>
      <c r="H21" s="3"/>
      <c r="I21" s="3"/>
      <c r="J21" s="3"/>
      <c r="K21" s="3"/>
      <c r="L21" s="3"/>
      <c r="M21" s="3"/>
      <c r="N21" s="3"/>
      <c r="O21" s="3"/>
      <c r="P21" s="3"/>
      <c r="Q21" s="3"/>
      <c r="R21" s="3"/>
      <c r="S21" s="3"/>
      <c r="T21" s="3"/>
      <c r="U21" s="3"/>
      <c r="V21" s="3"/>
      <c r="W21" s="3"/>
      <c r="X21" s="3"/>
    </row>
    <row r="22" spans="1:24" ht="15.75" customHeight="1" x14ac:dyDescent="0.3">
      <c r="A22" s="3"/>
      <c r="B22" s="65"/>
      <c r="C22" s="3"/>
      <c r="D22" s="3"/>
      <c r="E22" s="3"/>
      <c r="F22" s="3"/>
      <c r="G22" s="3"/>
      <c r="H22" s="3"/>
      <c r="I22" s="3"/>
      <c r="J22" s="3"/>
      <c r="K22" s="3"/>
      <c r="L22" s="3"/>
      <c r="M22" s="3"/>
      <c r="N22" s="3"/>
      <c r="O22" s="3"/>
      <c r="P22" s="3"/>
      <c r="Q22" s="3"/>
      <c r="R22" s="3"/>
      <c r="S22" s="3"/>
      <c r="T22" s="3"/>
      <c r="U22" s="3"/>
      <c r="V22" s="3"/>
      <c r="W22" s="3"/>
      <c r="X22" s="3"/>
    </row>
    <row r="23" spans="1:24" ht="15.75" customHeight="1" x14ac:dyDescent="0.3">
      <c r="A23" s="3"/>
      <c r="B23" s="65"/>
      <c r="C23" s="3"/>
      <c r="D23" s="3"/>
      <c r="E23" s="3"/>
      <c r="F23" s="3"/>
      <c r="G23" s="3"/>
      <c r="H23" s="3"/>
      <c r="I23" s="3"/>
      <c r="J23" s="3"/>
      <c r="K23" s="3"/>
      <c r="L23" s="3"/>
      <c r="M23" s="3"/>
      <c r="N23" s="3"/>
      <c r="O23" s="3"/>
      <c r="P23" s="3"/>
      <c r="Q23" s="3"/>
      <c r="R23" s="3"/>
      <c r="S23" s="3"/>
      <c r="T23" s="3"/>
      <c r="U23" s="3"/>
      <c r="V23" s="3"/>
      <c r="W23" s="3"/>
      <c r="X23" s="3"/>
    </row>
    <row r="24" spans="1:24" ht="15.75" customHeight="1" x14ac:dyDescent="0.3">
      <c r="A24" s="3"/>
      <c r="B24" s="65"/>
      <c r="C24" s="3"/>
      <c r="D24" s="3"/>
      <c r="E24" s="3"/>
      <c r="F24" s="3"/>
      <c r="G24" s="3"/>
      <c r="H24" s="3"/>
      <c r="I24" s="3"/>
      <c r="J24" s="3"/>
      <c r="K24" s="3"/>
      <c r="L24" s="3"/>
      <c r="M24" s="3"/>
      <c r="N24" s="3"/>
      <c r="O24" s="3"/>
      <c r="P24" s="3"/>
      <c r="Q24" s="3"/>
      <c r="R24" s="3"/>
      <c r="S24" s="3"/>
      <c r="T24" s="3"/>
      <c r="U24" s="3"/>
      <c r="V24" s="3"/>
      <c r="W24" s="3"/>
      <c r="X24" s="3"/>
    </row>
    <row r="25" spans="1:24" ht="15.75" customHeight="1" x14ac:dyDescent="0.3">
      <c r="A25" s="3"/>
      <c r="B25" s="65"/>
      <c r="C25" s="3"/>
      <c r="D25" s="3"/>
      <c r="E25" s="3"/>
      <c r="F25" s="3"/>
      <c r="G25" s="3"/>
      <c r="H25" s="3"/>
      <c r="I25" s="3"/>
      <c r="J25" s="3"/>
      <c r="K25" s="3"/>
      <c r="L25" s="3"/>
      <c r="M25" s="3"/>
      <c r="N25" s="3"/>
      <c r="O25" s="3"/>
      <c r="P25" s="3"/>
      <c r="Q25" s="3"/>
      <c r="R25" s="3"/>
      <c r="S25" s="3"/>
      <c r="T25" s="3"/>
      <c r="U25" s="3"/>
      <c r="V25" s="3"/>
      <c r="W25" s="3"/>
      <c r="X25" s="3"/>
    </row>
    <row r="26" spans="1:24" ht="15.75" customHeight="1" x14ac:dyDescent="0.3">
      <c r="A26" s="66"/>
      <c r="B26" s="67"/>
      <c r="C26" s="3"/>
      <c r="D26" s="3"/>
      <c r="E26" s="3"/>
      <c r="F26" s="3"/>
      <c r="G26" s="3"/>
      <c r="H26" s="3"/>
      <c r="I26" s="3"/>
      <c r="J26" s="3"/>
      <c r="K26" s="3"/>
      <c r="L26" s="3"/>
      <c r="M26" s="3"/>
      <c r="N26" s="3"/>
      <c r="O26" s="3"/>
      <c r="P26" s="3"/>
      <c r="Q26" s="3"/>
      <c r="R26" s="3"/>
      <c r="S26" s="3"/>
      <c r="T26" s="3"/>
      <c r="U26" s="3"/>
      <c r="V26" s="3"/>
      <c r="W26" s="3"/>
      <c r="X26" s="3"/>
    </row>
    <row r="27" spans="1:24" ht="15.75" customHeight="1" x14ac:dyDescent="0.3">
      <c r="A27" s="68"/>
      <c r="B27" s="65"/>
      <c r="C27" s="3"/>
      <c r="D27" s="3"/>
      <c r="E27" s="3"/>
      <c r="F27" s="3"/>
      <c r="G27" s="3"/>
      <c r="H27" s="3"/>
      <c r="I27" s="3"/>
      <c r="J27" s="3"/>
      <c r="K27" s="3"/>
      <c r="L27" s="3"/>
      <c r="M27" s="3"/>
      <c r="N27" s="3"/>
      <c r="O27" s="3"/>
      <c r="P27" s="3"/>
      <c r="Q27" s="3"/>
      <c r="R27" s="3"/>
      <c r="S27" s="3"/>
      <c r="T27" s="3"/>
      <c r="U27" s="3"/>
      <c r="V27" s="3"/>
      <c r="W27" s="3"/>
      <c r="X27" s="3"/>
    </row>
    <row r="28" spans="1:24" ht="15.75" customHeight="1" x14ac:dyDescent="0.3">
      <c r="A28" s="69"/>
      <c r="B28" s="65"/>
      <c r="C28" s="3"/>
      <c r="D28" s="3"/>
      <c r="E28" s="3"/>
      <c r="F28" s="3"/>
      <c r="G28" s="3"/>
      <c r="H28" s="3"/>
      <c r="I28" s="3"/>
      <c r="J28" s="3"/>
      <c r="K28" s="3"/>
      <c r="L28" s="3"/>
      <c r="M28" s="3"/>
      <c r="N28" s="3"/>
      <c r="O28" s="3"/>
      <c r="P28" s="3"/>
      <c r="Q28" s="3"/>
      <c r="R28" s="3"/>
      <c r="S28" s="3"/>
      <c r="T28" s="3"/>
      <c r="U28" s="3"/>
      <c r="V28" s="3"/>
      <c r="W28" s="3"/>
      <c r="X28" s="3"/>
    </row>
    <row r="29" spans="1:24" ht="15.75" customHeight="1" x14ac:dyDescent="0.3">
      <c r="A29" s="3"/>
      <c r="B29" s="65"/>
      <c r="C29" s="3"/>
      <c r="D29" s="3"/>
      <c r="E29" s="3"/>
      <c r="F29" s="3"/>
      <c r="G29" s="3"/>
      <c r="H29" s="3"/>
      <c r="I29" s="3"/>
      <c r="J29" s="3"/>
      <c r="K29" s="3"/>
      <c r="L29" s="3"/>
      <c r="M29" s="3"/>
      <c r="N29" s="3"/>
      <c r="O29" s="3"/>
      <c r="P29" s="3"/>
      <c r="Q29" s="3"/>
      <c r="R29" s="3"/>
      <c r="S29" s="3"/>
      <c r="T29" s="3"/>
      <c r="U29" s="3"/>
      <c r="V29" s="3"/>
      <c r="W29" s="3"/>
      <c r="X29" s="3"/>
    </row>
    <row r="30" spans="1:24" ht="15.75" customHeight="1" x14ac:dyDescent="0.3">
      <c r="A30" s="3"/>
      <c r="B30" s="65"/>
      <c r="C30" s="3"/>
      <c r="D30" s="3"/>
      <c r="E30" s="3"/>
      <c r="F30" s="3"/>
      <c r="G30" s="3"/>
      <c r="H30" s="3"/>
      <c r="I30" s="3"/>
      <c r="J30" s="3"/>
      <c r="K30" s="3"/>
      <c r="L30" s="3"/>
      <c r="M30" s="3"/>
      <c r="N30" s="3"/>
      <c r="O30" s="3"/>
      <c r="P30" s="3"/>
      <c r="Q30" s="3"/>
      <c r="R30" s="3"/>
      <c r="S30" s="3"/>
      <c r="T30" s="3"/>
      <c r="U30" s="3"/>
      <c r="V30" s="3"/>
      <c r="W30" s="3"/>
      <c r="X30" s="3"/>
    </row>
    <row r="31" spans="1:24" ht="15.75" customHeight="1" x14ac:dyDescent="0.3">
      <c r="A31" s="3"/>
      <c r="B31" s="65"/>
      <c r="C31" s="3"/>
      <c r="D31" s="3"/>
      <c r="E31" s="3"/>
      <c r="F31" s="3"/>
      <c r="G31" s="3"/>
      <c r="H31" s="3"/>
      <c r="I31" s="3"/>
      <c r="J31" s="3"/>
      <c r="K31" s="3"/>
      <c r="L31" s="3"/>
      <c r="M31" s="3"/>
      <c r="N31" s="3"/>
      <c r="O31" s="3"/>
      <c r="P31" s="3"/>
      <c r="Q31" s="3"/>
      <c r="R31" s="3"/>
      <c r="S31" s="3"/>
      <c r="T31" s="3"/>
      <c r="U31" s="3"/>
      <c r="V31" s="3"/>
      <c r="W31" s="3"/>
      <c r="X31" s="3"/>
    </row>
    <row r="32" spans="1:24" ht="15.75" customHeight="1" x14ac:dyDescent="0.3">
      <c r="A32" s="3"/>
      <c r="B32" s="65"/>
      <c r="C32" s="3"/>
      <c r="D32" s="3"/>
      <c r="E32" s="3"/>
      <c r="F32" s="3"/>
      <c r="G32" s="3"/>
      <c r="H32" s="3"/>
      <c r="I32" s="3"/>
      <c r="J32" s="3"/>
      <c r="K32" s="3"/>
      <c r="L32" s="3"/>
      <c r="M32" s="3"/>
      <c r="N32" s="3"/>
      <c r="O32" s="3"/>
      <c r="P32" s="3"/>
      <c r="Q32" s="3"/>
      <c r="R32" s="3"/>
      <c r="S32" s="3"/>
      <c r="T32" s="3"/>
      <c r="U32" s="3"/>
      <c r="V32" s="3"/>
      <c r="W32" s="3"/>
      <c r="X32" s="3"/>
    </row>
    <row r="33" spans="1:24" ht="15.75" customHeight="1" x14ac:dyDescent="0.3">
      <c r="A33" s="3"/>
      <c r="B33" s="65"/>
      <c r="C33" s="3"/>
      <c r="D33" s="3"/>
      <c r="E33" s="3"/>
      <c r="F33" s="3"/>
      <c r="G33" s="3"/>
      <c r="H33" s="3"/>
      <c r="I33" s="3"/>
      <c r="J33" s="3"/>
      <c r="K33" s="3"/>
      <c r="L33" s="3"/>
      <c r="M33" s="3"/>
      <c r="N33" s="3"/>
      <c r="O33" s="3"/>
      <c r="P33" s="3"/>
      <c r="Q33" s="3"/>
      <c r="R33" s="3"/>
      <c r="S33" s="3"/>
      <c r="T33" s="3"/>
      <c r="U33" s="3"/>
      <c r="V33" s="3"/>
      <c r="W33" s="3"/>
      <c r="X33" s="3"/>
    </row>
    <row r="34" spans="1:24" ht="15.75" customHeight="1" x14ac:dyDescent="0.3">
      <c r="A34" s="3"/>
      <c r="B34" s="65"/>
      <c r="C34" s="3"/>
      <c r="D34" s="3"/>
      <c r="E34" s="3"/>
      <c r="F34" s="3"/>
      <c r="G34" s="3"/>
      <c r="H34" s="3"/>
      <c r="I34" s="3"/>
      <c r="J34" s="3"/>
      <c r="K34" s="3"/>
      <c r="L34" s="3"/>
      <c r="M34" s="3"/>
      <c r="N34" s="3"/>
      <c r="O34" s="3"/>
      <c r="P34" s="3"/>
      <c r="Q34" s="3"/>
      <c r="R34" s="3"/>
      <c r="S34" s="3"/>
      <c r="T34" s="3"/>
      <c r="U34" s="3"/>
      <c r="V34" s="3"/>
      <c r="W34" s="3"/>
      <c r="X34" s="3"/>
    </row>
    <row r="35" spans="1:24" ht="15.75" customHeight="1" x14ac:dyDescent="0.3">
      <c r="A35" s="3"/>
      <c r="B35" s="65"/>
      <c r="C35" s="3"/>
      <c r="D35" s="3"/>
      <c r="E35" s="3"/>
      <c r="F35" s="3"/>
      <c r="G35" s="3"/>
      <c r="H35" s="3"/>
      <c r="I35" s="3"/>
      <c r="J35" s="3"/>
      <c r="K35" s="3"/>
      <c r="L35" s="3"/>
      <c r="M35" s="3"/>
      <c r="N35" s="3"/>
      <c r="O35" s="3"/>
      <c r="P35" s="3"/>
      <c r="Q35" s="3"/>
      <c r="R35" s="3"/>
      <c r="S35" s="3"/>
      <c r="T35" s="3"/>
      <c r="U35" s="3"/>
      <c r="V35" s="3"/>
      <c r="W35" s="3"/>
      <c r="X35" s="3"/>
    </row>
    <row r="36" spans="1:24" ht="15.75" customHeight="1" x14ac:dyDescent="0.3">
      <c r="A36" s="3"/>
      <c r="B36" s="65"/>
      <c r="C36" s="3"/>
      <c r="D36" s="3"/>
      <c r="E36" s="3"/>
      <c r="F36" s="3"/>
      <c r="G36" s="3"/>
      <c r="H36" s="3"/>
      <c r="I36" s="3"/>
      <c r="J36" s="3"/>
      <c r="K36" s="3"/>
      <c r="L36" s="3"/>
      <c r="M36" s="3"/>
      <c r="N36" s="3"/>
      <c r="O36" s="3"/>
      <c r="P36" s="3"/>
      <c r="Q36" s="3"/>
      <c r="R36" s="3"/>
      <c r="S36" s="3"/>
      <c r="T36" s="3"/>
      <c r="U36" s="3"/>
      <c r="V36" s="3"/>
      <c r="W36" s="3"/>
      <c r="X36" s="3"/>
    </row>
    <row r="37" spans="1:24" ht="15.75" customHeight="1" x14ac:dyDescent="0.3">
      <c r="A37" s="3"/>
      <c r="B37" s="65"/>
      <c r="C37" s="3"/>
      <c r="D37" s="3"/>
      <c r="E37" s="3"/>
      <c r="F37" s="3"/>
      <c r="G37" s="3"/>
      <c r="H37" s="3"/>
      <c r="I37" s="3"/>
      <c r="J37" s="3"/>
      <c r="K37" s="3"/>
      <c r="L37" s="3"/>
      <c r="M37" s="3"/>
      <c r="N37" s="3"/>
      <c r="O37" s="3"/>
      <c r="P37" s="3"/>
      <c r="Q37" s="3"/>
      <c r="R37" s="3"/>
      <c r="S37" s="3"/>
      <c r="T37" s="3"/>
      <c r="U37" s="3"/>
      <c r="V37" s="3"/>
      <c r="W37" s="3"/>
      <c r="X37" s="3"/>
    </row>
    <row r="38" spans="1:24" ht="15.75" customHeight="1" x14ac:dyDescent="0.3">
      <c r="A38" s="3"/>
      <c r="B38" s="65"/>
      <c r="C38" s="3"/>
      <c r="D38" s="3"/>
      <c r="E38" s="3"/>
      <c r="F38" s="3"/>
      <c r="G38" s="3"/>
      <c r="H38" s="3"/>
      <c r="I38" s="3"/>
      <c r="J38" s="3"/>
      <c r="K38" s="3"/>
      <c r="L38" s="3"/>
      <c r="M38" s="3"/>
      <c r="N38" s="3"/>
      <c r="O38" s="3"/>
      <c r="P38" s="3"/>
      <c r="Q38" s="3"/>
      <c r="R38" s="3"/>
      <c r="S38" s="3"/>
      <c r="T38" s="3"/>
      <c r="U38" s="3"/>
      <c r="V38" s="3"/>
      <c r="W38" s="3"/>
      <c r="X38" s="3"/>
    </row>
    <row r="39" spans="1:24" ht="15.75" customHeight="1" x14ac:dyDescent="0.3">
      <c r="A39" s="3"/>
      <c r="B39" s="65"/>
      <c r="C39" s="3"/>
      <c r="D39" s="3"/>
      <c r="E39" s="3"/>
      <c r="F39" s="3"/>
      <c r="G39" s="3"/>
      <c r="H39" s="3"/>
      <c r="I39" s="3"/>
      <c r="J39" s="3"/>
      <c r="K39" s="3"/>
      <c r="L39" s="3"/>
      <c r="M39" s="3"/>
      <c r="N39" s="3"/>
      <c r="O39" s="3"/>
      <c r="P39" s="3"/>
      <c r="Q39" s="3"/>
      <c r="R39" s="3"/>
      <c r="S39" s="3"/>
      <c r="T39" s="3"/>
      <c r="U39" s="3"/>
      <c r="V39" s="3"/>
      <c r="W39" s="3"/>
      <c r="X39" s="3"/>
    </row>
    <row r="40" spans="1:24" ht="15.75" customHeight="1" x14ac:dyDescent="0.3">
      <c r="A40" s="3"/>
      <c r="B40" s="65"/>
      <c r="C40" s="3"/>
      <c r="D40" s="3"/>
      <c r="E40" s="3"/>
      <c r="F40" s="3"/>
      <c r="G40" s="3"/>
      <c r="H40" s="3"/>
      <c r="I40" s="3"/>
      <c r="J40" s="3"/>
      <c r="K40" s="3"/>
      <c r="L40" s="3"/>
      <c r="M40" s="3"/>
      <c r="N40" s="3"/>
      <c r="O40" s="3"/>
      <c r="P40" s="3"/>
      <c r="Q40" s="3"/>
      <c r="R40" s="3"/>
      <c r="S40" s="3"/>
      <c r="T40" s="3"/>
      <c r="U40" s="3"/>
      <c r="V40" s="3"/>
      <c r="W40" s="3"/>
      <c r="X40" s="3"/>
    </row>
    <row r="41" spans="1:24" ht="15.75" customHeight="1" x14ac:dyDescent="0.3">
      <c r="A41" s="3"/>
      <c r="B41" s="65"/>
      <c r="C41" s="3"/>
      <c r="D41" s="3"/>
      <c r="E41" s="3"/>
      <c r="F41" s="3"/>
      <c r="G41" s="3"/>
      <c r="H41" s="3"/>
      <c r="I41" s="3"/>
      <c r="J41" s="3"/>
      <c r="K41" s="3"/>
      <c r="L41" s="3"/>
      <c r="M41" s="3"/>
      <c r="N41" s="3"/>
      <c r="O41" s="3"/>
      <c r="P41" s="3"/>
      <c r="Q41" s="3"/>
      <c r="R41" s="3"/>
      <c r="S41" s="3"/>
      <c r="T41" s="3"/>
      <c r="U41" s="3"/>
      <c r="V41" s="3"/>
      <c r="W41" s="3"/>
      <c r="X41" s="3"/>
    </row>
    <row r="42" spans="1:24" ht="15.75" customHeight="1" x14ac:dyDescent="0.3">
      <c r="A42" s="3"/>
      <c r="B42" s="65"/>
      <c r="C42" s="3"/>
      <c r="D42" s="3"/>
      <c r="E42" s="3"/>
      <c r="F42" s="3"/>
      <c r="G42" s="3"/>
      <c r="H42" s="3"/>
      <c r="I42" s="3"/>
      <c r="J42" s="3"/>
      <c r="K42" s="3"/>
      <c r="L42" s="3"/>
      <c r="M42" s="3"/>
      <c r="N42" s="3"/>
      <c r="O42" s="3"/>
      <c r="P42" s="3"/>
      <c r="Q42" s="3"/>
      <c r="R42" s="3"/>
      <c r="S42" s="3"/>
      <c r="T42" s="3"/>
      <c r="U42" s="3"/>
      <c r="V42" s="3"/>
      <c r="W42" s="3"/>
      <c r="X42" s="3"/>
    </row>
    <row r="43" spans="1:24" ht="15.75" customHeight="1" x14ac:dyDescent="0.3">
      <c r="A43" s="3"/>
      <c r="B43" s="65"/>
      <c r="C43" s="3"/>
      <c r="D43" s="3"/>
      <c r="E43" s="3"/>
      <c r="F43" s="3"/>
      <c r="G43" s="3"/>
      <c r="H43" s="3"/>
      <c r="I43" s="3"/>
      <c r="J43" s="3"/>
      <c r="K43" s="3"/>
      <c r="L43" s="3"/>
      <c r="M43" s="3"/>
      <c r="N43" s="3"/>
      <c r="O43" s="3"/>
      <c r="P43" s="3"/>
      <c r="Q43" s="3"/>
      <c r="R43" s="3"/>
      <c r="S43" s="3"/>
      <c r="T43" s="3"/>
      <c r="U43" s="3"/>
      <c r="V43" s="3"/>
      <c r="W43" s="3"/>
      <c r="X43" s="3"/>
    </row>
    <row r="44" spans="1:24" ht="15.75" customHeight="1" x14ac:dyDescent="0.3">
      <c r="A44" s="3"/>
      <c r="B44" s="65"/>
      <c r="C44" s="3"/>
      <c r="D44" s="3"/>
      <c r="E44" s="3"/>
      <c r="F44" s="3"/>
      <c r="G44" s="3"/>
      <c r="H44" s="3"/>
      <c r="I44" s="3"/>
      <c r="J44" s="3"/>
      <c r="K44" s="3"/>
      <c r="L44" s="3"/>
      <c r="M44" s="3"/>
      <c r="N44" s="3"/>
      <c r="O44" s="3"/>
      <c r="P44" s="3"/>
      <c r="Q44" s="3"/>
      <c r="R44" s="3"/>
      <c r="S44" s="3"/>
      <c r="T44" s="3"/>
      <c r="U44" s="3"/>
      <c r="V44" s="3"/>
      <c r="W44" s="3"/>
      <c r="X44" s="3"/>
    </row>
    <row r="45" spans="1:24" ht="15.75" customHeight="1" x14ac:dyDescent="0.3">
      <c r="A45" s="3"/>
      <c r="B45" s="65"/>
      <c r="C45" s="3"/>
      <c r="D45" s="3"/>
      <c r="E45" s="3"/>
      <c r="F45" s="3"/>
      <c r="G45" s="3"/>
      <c r="H45" s="3"/>
      <c r="I45" s="3"/>
      <c r="J45" s="3"/>
      <c r="K45" s="3"/>
      <c r="L45" s="3"/>
      <c r="M45" s="3"/>
      <c r="N45" s="3"/>
      <c r="O45" s="3"/>
      <c r="P45" s="3"/>
      <c r="Q45" s="3"/>
      <c r="R45" s="3"/>
      <c r="S45" s="3"/>
      <c r="T45" s="3"/>
      <c r="U45" s="3"/>
      <c r="V45" s="3"/>
      <c r="W45" s="3"/>
      <c r="X45" s="3"/>
    </row>
    <row r="46" spans="1:24" ht="15.75" customHeight="1" x14ac:dyDescent="0.3">
      <c r="A46" s="3"/>
      <c r="B46" s="65"/>
      <c r="C46" s="3"/>
      <c r="D46" s="3"/>
      <c r="E46" s="3"/>
      <c r="F46" s="3"/>
      <c r="G46" s="3"/>
      <c r="H46" s="3"/>
      <c r="I46" s="3"/>
      <c r="J46" s="3"/>
      <c r="K46" s="3"/>
      <c r="L46" s="3"/>
      <c r="M46" s="3"/>
      <c r="N46" s="3"/>
      <c r="O46" s="3"/>
      <c r="P46" s="3"/>
      <c r="Q46" s="3"/>
      <c r="R46" s="3"/>
      <c r="S46" s="3"/>
      <c r="T46" s="3"/>
      <c r="U46" s="3"/>
      <c r="V46" s="3"/>
      <c r="W46" s="3"/>
      <c r="X46" s="3"/>
    </row>
    <row r="47" spans="1:24" ht="15.75" customHeight="1" x14ac:dyDescent="0.3">
      <c r="A47" s="3"/>
      <c r="B47" s="65"/>
      <c r="C47" s="3"/>
      <c r="D47" s="3"/>
      <c r="E47" s="3"/>
      <c r="F47" s="3"/>
      <c r="G47" s="3"/>
      <c r="H47" s="3"/>
      <c r="I47" s="3"/>
      <c r="J47" s="3"/>
      <c r="K47" s="3"/>
      <c r="L47" s="3"/>
      <c r="M47" s="3"/>
      <c r="N47" s="3"/>
      <c r="O47" s="3"/>
      <c r="P47" s="3"/>
      <c r="Q47" s="3"/>
      <c r="R47" s="3"/>
      <c r="S47" s="3"/>
      <c r="T47" s="3"/>
      <c r="U47" s="3"/>
      <c r="V47" s="3"/>
      <c r="W47" s="3"/>
      <c r="X47" s="3"/>
    </row>
    <row r="48" spans="1:24" ht="15.75" customHeight="1" x14ac:dyDescent="0.3">
      <c r="A48" s="3"/>
      <c r="B48" s="65"/>
      <c r="C48" s="3"/>
      <c r="D48" s="3"/>
      <c r="E48" s="3"/>
      <c r="F48" s="3"/>
      <c r="G48" s="3"/>
      <c r="H48" s="3"/>
      <c r="I48" s="3"/>
      <c r="J48" s="3"/>
      <c r="K48" s="3"/>
      <c r="L48" s="3"/>
      <c r="M48" s="3"/>
      <c r="N48" s="3"/>
      <c r="O48" s="3"/>
      <c r="P48" s="3"/>
      <c r="Q48" s="3"/>
      <c r="R48" s="3"/>
      <c r="S48" s="3"/>
      <c r="T48" s="3"/>
      <c r="U48" s="3"/>
      <c r="V48" s="3"/>
      <c r="W48" s="3"/>
      <c r="X48" s="3"/>
    </row>
    <row r="49" spans="1:24" ht="15.75" customHeight="1" x14ac:dyDescent="0.3">
      <c r="A49" s="3"/>
      <c r="B49" s="65"/>
      <c r="C49" s="3"/>
      <c r="D49" s="3"/>
      <c r="E49" s="3"/>
      <c r="F49" s="3"/>
      <c r="G49" s="3"/>
      <c r="H49" s="3"/>
      <c r="I49" s="3"/>
      <c r="J49" s="3"/>
      <c r="K49" s="3"/>
      <c r="L49" s="3"/>
      <c r="M49" s="3"/>
      <c r="N49" s="3"/>
      <c r="O49" s="3"/>
      <c r="P49" s="3"/>
      <c r="Q49" s="3"/>
      <c r="R49" s="3"/>
      <c r="S49" s="3"/>
      <c r="T49" s="3"/>
      <c r="U49" s="3"/>
      <c r="V49" s="3"/>
      <c r="W49" s="3"/>
      <c r="X49" s="3"/>
    </row>
    <row r="50" spans="1:24" ht="15.75" customHeight="1" x14ac:dyDescent="0.3">
      <c r="A50" s="3"/>
      <c r="B50" s="65"/>
      <c r="C50" s="3"/>
      <c r="D50" s="3"/>
      <c r="E50" s="3"/>
      <c r="F50" s="3"/>
      <c r="G50" s="3"/>
      <c r="H50" s="3"/>
      <c r="I50" s="3"/>
      <c r="J50" s="3"/>
      <c r="K50" s="3"/>
      <c r="L50" s="3"/>
      <c r="M50" s="3"/>
      <c r="N50" s="3"/>
      <c r="O50" s="3"/>
      <c r="P50" s="3"/>
      <c r="Q50" s="3"/>
      <c r="R50" s="3"/>
      <c r="S50" s="3"/>
      <c r="T50" s="3"/>
      <c r="U50" s="3"/>
      <c r="V50" s="3"/>
      <c r="W50" s="3"/>
      <c r="X50" s="3"/>
    </row>
    <row r="51" spans="1:24" ht="15.75" customHeight="1" x14ac:dyDescent="0.3">
      <c r="A51" s="3"/>
      <c r="B51" s="65"/>
      <c r="C51" s="3"/>
      <c r="D51" s="3"/>
      <c r="E51" s="3"/>
      <c r="F51" s="3"/>
      <c r="G51" s="3"/>
      <c r="H51" s="3"/>
      <c r="I51" s="3"/>
      <c r="J51" s="3"/>
      <c r="K51" s="3"/>
      <c r="L51" s="3"/>
      <c r="M51" s="3"/>
      <c r="N51" s="3"/>
      <c r="O51" s="3"/>
      <c r="P51" s="3"/>
      <c r="Q51" s="3"/>
      <c r="R51" s="3"/>
      <c r="S51" s="3"/>
      <c r="T51" s="3"/>
      <c r="U51" s="3"/>
      <c r="V51" s="3"/>
      <c r="W51" s="3"/>
      <c r="X51" s="3"/>
    </row>
    <row r="52" spans="1:24" ht="15.75" customHeight="1" x14ac:dyDescent="0.3">
      <c r="A52" s="3"/>
      <c r="B52" s="65"/>
      <c r="C52" s="3"/>
      <c r="D52" s="3"/>
      <c r="E52" s="3"/>
      <c r="F52" s="3"/>
      <c r="G52" s="3"/>
      <c r="H52" s="3"/>
      <c r="I52" s="3"/>
      <c r="J52" s="3"/>
      <c r="K52" s="3"/>
      <c r="L52" s="3"/>
      <c r="M52" s="3"/>
      <c r="N52" s="3"/>
      <c r="O52" s="3"/>
      <c r="P52" s="3"/>
      <c r="Q52" s="3"/>
      <c r="R52" s="3"/>
      <c r="S52" s="3"/>
      <c r="T52" s="3"/>
      <c r="U52" s="3"/>
      <c r="V52" s="3"/>
      <c r="W52" s="3"/>
      <c r="X52" s="3"/>
    </row>
    <row r="53" spans="1:24" ht="15.75" customHeight="1" x14ac:dyDescent="0.3">
      <c r="A53" s="3"/>
      <c r="B53" s="65"/>
      <c r="C53" s="3"/>
      <c r="D53" s="3"/>
      <c r="E53" s="3"/>
      <c r="F53" s="3"/>
      <c r="G53" s="3"/>
      <c r="H53" s="3"/>
      <c r="I53" s="3"/>
      <c r="J53" s="3"/>
      <c r="K53" s="3"/>
      <c r="L53" s="3"/>
      <c r="M53" s="3"/>
      <c r="N53" s="3"/>
      <c r="O53" s="3"/>
      <c r="P53" s="3"/>
      <c r="Q53" s="3"/>
      <c r="R53" s="3"/>
      <c r="S53" s="3"/>
      <c r="T53" s="3"/>
      <c r="U53" s="3"/>
      <c r="V53" s="3"/>
      <c r="W53" s="3"/>
      <c r="X53" s="3"/>
    </row>
    <row r="54" spans="1:24" ht="15.75" customHeight="1" x14ac:dyDescent="0.3">
      <c r="A54" s="3"/>
      <c r="B54" s="65"/>
      <c r="C54" s="3"/>
      <c r="D54" s="3"/>
      <c r="E54" s="3"/>
      <c r="F54" s="3"/>
      <c r="G54" s="3"/>
      <c r="H54" s="3"/>
      <c r="I54" s="3"/>
      <c r="J54" s="3"/>
      <c r="K54" s="3"/>
      <c r="L54" s="3"/>
      <c r="M54" s="3"/>
      <c r="N54" s="3"/>
      <c r="O54" s="3"/>
      <c r="P54" s="3"/>
      <c r="Q54" s="3"/>
      <c r="R54" s="3"/>
      <c r="S54" s="3"/>
      <c r="T54" s="3"/>
      <c r="U54" s="3"/>
      <c r="V54" s="3"/>
      <c r="W54" s="3"/>
      <c r="X54" s="3"/>
    </row>
    <row r="55" spans="1:24" ht="15.75" customHeight="1" x14ac:dyDescent="0.3">
      <c r="A55" s="3"/>
      <c r="B55" s="65"/>
      <c r="C55" s="3"/>
      <c r="D55" s="3"/>
      <c r="E55" s="3"/>
      <c r="F55" s="3"/>
      <c r="G55" s="3"/>
      <c r="H55" s="3"/>
      <c r="I55" s="3"/>
      <c r="J55" s="3"/>
      <c r="K55" s="3"/>
      <c r="L55" s="3"/>
      <c r="M55" s="3"/>
      <c r="N55" s="3"/>
      <c r="O55" s="3"/>
      <c r="P55" s="3"/>
      <c r="Q55" s="3"/>
      <c r="R55" s="3"/>
      <c r="S55" s="3"/>
      <c r="T55" s="3"/>
      <c r="U55" s="3"/>
      <c r="V55" s="3"/>
      <c r="W55" s="3"/>
      <c r="X55" s="3"/>
    </row>
    <row r="56" spans="1:24" ht="15.75" customHeight="1" x14ac:dyDescent="0.3">
      <c r="A56" s="3"/>
      <c r="B56" s="65"/>
      <c r="C56" s="3"/>
      <c r="D56" s="3"/>
      <c r="E56" s="3"/>
      <c r="F56" s="3"/>
      <c r="G56" s="3"/>
      <c r="H56" s="3"/>
      <c r="I56" s="3"/>
      <c r="J56" s="3"/>
      <c r="K56" s="3"/>
      <c r="L56" s="3"/>
      <c r="M56" s="3"/>
      <c r="N56" s="3"/>
      <c r="O56" s="3"/>
      <c r="P56" s="3"/>
      <c r="Q56" s="3"/>
      <c r="R56" s="3"/>
      <c r="S56" s="3"/>
      <c r="T56" s="3"/>
      <c r="U56" s="3"/>
      <c r="V56" s="3"/>
      <c r="W56" s="3"/>
      <c r="X56" s="3"/>
    </row>
    <row r="57" spans="1:24" ht="15.75" customHeight="1" x14ac:dyDescent="0.3">
      <c r="A57" s="3"/>
      <c r="B57" s="65"/>
      <c r="C57" s="3"/>
      <c r="D57" s="3"/>
      <c r="E57" s="3"/>
      <c r="F57" s="3"/>
      <c r="G57" s="3"/>
      <c r="H57" s="3"/>
      <c r="I57" s="3"/>
      <c r="J57" s="3"/>
      <c r="K57" s="3"/>
      <c r="L57" s="3"/>
      <c r="M57" s="3"/>
      <c r="N57" s="3"/>
      <c r="O57" s="3"/>
      <c r="P57" s="3"/>
      <c r="Q57" s="3"/>
      <c r="R57" s="3"/>
      <c r="S57" s="3"/>
      <c r="T57" s="3"/>
      <c r="U57" s="3"/>
      <c r="V57" s="3"/>
      <c r="W57" s="3"/>
      <c r="X57" s="3"/>
    </row>
    <row r="58" spans="1:24" ht="15.75" customHeight="1" x14ac:dyDescent="0.3">
      <c r="A58" s="3"/>
      <c r="B58" s="65"/>
      <c r="C58" s="3"/>
      <c r="D58" s="3"/>
      <c r="E58" s="3"/>
      <c r="F58" s="3"/>
      <c r="G58" s="3"/>
      <c r="H58" s="3"/>
      <c r="I58" s="3"/>
      <c r="J58" s="3"/>
      <c r="K58" s="3"/>
      <c r="L58" s="3"/>
      <c r="M58" s="3"/>
      <c r="N58" s="3"/>
      <c r="O58" s="3"/>
      <c r="P58" s="3"/>
      <c r="Q58" s="3"/>
      <c r="R58" s="3"/>
      <c r="S58" s="3"/>
      <c r="T58" s="3"/>
      <c r="U58" s="3"/>
      <c r="V58" s="3"/>
      <c r="W58" s="3"/>
      <c r="X58" s="3"/>
    </row>
    <row r="59" spans="1:24" ht="15.75" customHeight="1" x14ac:dyDescent="0.3">
      <c r="A59" s="3"/>
      <c r="B59" s="65"/>
      <c r="C59" s="3"/>
      <c r="D59" s="3"/>
      <c r="E59" s="3"/>
      <c r="F59" s="3"/>
      <c r="G59" s="3"/>
      <c r="H59" s="3"/>
      <c r="I59" s="3"/>
      <c r="J59" s="3"/>
      <c r="K59" s="3"/>
      <c r="L59" s="3"/>
      <c r="M59" s="3"/>
      <c r="N59" s="3"/>
      <c r="O59" s="3"/>
      <c r="P59" s="3"/>
      <c r="Q59" s="3"/>
      <c r="R59" s="3"/>
      <c r="S59" s="3"/>
      <c r="T59" s="3"/>
      <c r="U59" s="3"/>
      <c r="V59" s="3"/>
      <c r="W59" s="3"/>
      <c r="X59" s="3"/>
    </row>
    <row r="60" spans="1:24" ht="15.75" customHeight="1" x14ac:dyDescent="0.3">
      <c r="A60" s="3"/>
      <c r="B60" s="65"/>
      <c r="C60" s="3"/>
      <c r="D60" s="3"/>
      <c r="E60" s="3"/>
      <c r="F60" s="3"/>
      <c r="G60" s="3"/>
      <c r="H60" s="3"/>
      <c r="I60" s="3"/>
      <c r="J60" s="3"/>
      <c r="K60" s="3"/>
      <c r="L60" s="3"/>
      <c r="M60" s="3"/>
      <c r="N60" s="3"/>
      <c r="O60" s="3"/>
      <c r="P60" s="3"/>
      <c r="Q60" s="3"/>
      <c r="R60" s="3"/>
      <c r="S60" s="3"/>
      <c r="T60" s="3"/>
      <c r="U60" s="3"/>
      <c r="V60" s="3"/>
      <c r="W60" s="3"/>
      <c r="X60" s="3"/>
    </row>
    <row r="61" spans="1:24" ht="15.75" customHeight="1" x14ac:dyDescent="0.3">
      <c r="A61" s="3"/>
      <c r="B61" s="65"/>
      <c r="C61" s="3"/>
      <c r="D61" s="3"/>
      <c r="E61" s="3"/>
      <c r="F61" s="3"/>
      <c r="G61" s="3"/>
      <c r="H61" s="3"/>
      <c r="I61" s="3"/>
      <c r="J61" s="3"/>
      <c r="K61" s="3"/>
      <c r="L61" s="3"/>
      <c r="M61" s="3"/>
      <c r="N61" s="3"/>
      <c r="O61" s="3"/>
      <c r="P61" s="3"/>
      <c r="Q61" s="3"/>
      <c r="R61" s="3"/>
      <c r="S61" s="3"/>
      <c r="T61" s="3"/>
      <c r="U61" s="3"/>
      <c r="V61" s="3"/>
      <c r="W61" s="3"/>
      <c r="X61" s="3"/>
    </row>
    <row r="62" spans="1:24" ht="15.75" customHeight="1" x14ac:dyDescent="0.3">
      <c r="A62" s="3"/>
      <c r="B62" s="65"/>
      <c r="C62" s="3"/>
      <c r="D62" s="3"/>
      <c r="E62" s="3"/>
      <c r="F62" s="3"/>
      <c r="G62" s="3"/>
      <c r="H62" s="3"/>
      <c r="I62" s="3"/>
      <c r="J62" s="3"/>
      <c r="K62" s="3"/>
      <c r="L62" s="3"/>
      <c r="M62" s="3"/>
      <c r="N62" s="3"/>
      <c r="O62" s="3"/>
      <c r="P62" s="3"/>
      <c r="Q62" s="3"/>
      <c r="R62" s="3"/>
      <c r="S62" s="3"/>
      <c r="T62" s="3"/>
      <c r="U62" s="3"/>
      <c r="V62" s="3"/>
      <c r="W62" s="3"/>
      <c r="X62" s="3"/>
    </row>
    <row r="63" spans="1:24" ht="15.75" customHeight="1" x14ac:dyDescent="0.3">
      <c r="A63" s="3"/>
      <c r="B63" s="65"/>
      <c r="C63" s="3"/>
      <c r="D63" s="3"/>
      <c r="E63" s="3"/>
      <c r="F63" s="3"/>
      <c r="G63" s="3"/>
      <c r="H63" s="3"/>
      <c r="I63" s="3"/>
      <c r="J63" s="3"/>
      <c r="K63" s="3"/>
      <c r="L63" s="3"/>
      <c r="M63" s="3"/>
      <c r="N63" s="3"/>
      <c r="O63" s="3"/>
      <c r="P63" s="3"/>
      <c r="Q63" s="3"/>
      <c r="R63" s="3"/>
      <c r="S63" s="3"/>
      <c r="T63" s="3"/>
      <c r="U63" s="3"/>
      <c r="V63" s="3"/>
      <c r="W63" s="3"/>
      <c r="X63" s="3"/>
    </row>
    <row r="64" spans="1:24" ht="15.75" customHeight="1" x14ac:dyDescent="0.3">
      <c r="A64" s="3"/>
      <c r="B64" s="65"/>
      <c r="C64" s="3"/>
      <c r="D64" s="3"/>
      <c r="E64" s="3"/>
      <c r="F64" s="3"/>
      <c r="G64" s="3"/>
      <c r="H64" s="3"/>
      <c r="I64" s="3"/>
      <c r="J64" s="3"/>
      <c r="K64" s="3"/>
      <c r="L64" s="3"/>
      <c r="M64" s="3"/>
      <c r="N64" s="3"/>
      <c r="O64" s="3"/>
      <c r="P64" s="3"/>
      <c r="Q64" s="3"/>
      <c r="R64" s="3"/>
      <c r="S64" s="3"/>
      <c r="T64" s="3"/>
      <c r="U64" s="3"/>
      <c r="V64" s="3"/>
      <c r="W64" s="3"/>
      <c r="X64" s="3"/>
    </row>
    <row r="65" spans="1:24" ht="15.75" customHeight="1" x14ac:dyDescent="0.3">
      <c r="A65" s="3"/>
      <c r="B65" s="65"/>
      <c r="C65" s="3"/>
      <c r="D65" s="3"/>
      <c r="E65" s="3"/>
      <c r="F65" s="3"/>
      <c r="G65" s="3"/>
      <c r="H65" s="3"/>
      <c r="I65" s="3"/>
      <c r="J65" s="3"/>
      <c r="K65" s="3"/>
      <c r="L65" s="3"/>
      <c r="M65" s="3"/>
      <c r="N65" s="3"/>
      <c r="O65" s="3"/>
      <c r="P65" s="3"/>
      <c r="Q65" s="3"/>
      <c r="R65" s="3"/>
      <c r="S65" s="3"/>
      <c r="T65" s="3"/>
      <c r="U65" s="3"/>
      <c r="V65" s="3"/>
      <c r="W65" s="3"/>
      <c r="X65" s="3"/>
    </row>
    <row r="66" spans="1:24" ht="15.75" customHeight="1" x14ac:dyDescent="0.3">
      <c r="A66" s="3"/>
      <c r="B66" s="65"/>
      <c r="C66" s="3"/>
      <c r="D66" s="3"/>
      <c r="E66" s="3"/>
      <c r="F66" s="3"/>
      <c r="G66" s="3"/>
      <c r="H66" s="3"/>
      <c r="I66" s="3"/>
      <c r="J66" s="3"/>
      <c r="K66" s="3"/>
      <c r="L66" s="3"/>
      <c r="M66" s="3"/>
      <c r="N66" s="3"/>
      <c r="O66" s="3"/>
      <c r="P66" s="3"/>
      <c r="Q66" s="3"/>
      <c r="R66" s="3"/>
      <c r="S66" s="3"/>
      <c r="T66" s="3"/>
      <c r="U66" s="3"/>
      <c r="V66" s="3"/>
      <c r="W66" s="3"/>
      <c r="X66" s="3"/>
    </row>
    <row r="67" spans="1:24" ht="15.75" customHeight="1" x14ac:dyDescent="0.3">
      <c r="A67" s="3"/>
      <c r="B67" s="65"/>
      <c r="C67" s="3"/>
      <c r="D67" s="3"/>
      <c r="E67" s="3"/>
      <c r="F67" s="3"/>
      <c r="G67" s="3"/>
      <c r="H67" s="3"/>
      <c r="I67" s="3"/>
      <c r="J67" s="3"/>
      <c r="K67" s="3"/>
      <c r="L67" s="3"/>
      <c r="M67" s="3"/>
      <c r="N67" s="3"/>
      <c r="O67" s="3"/>
      <c r="P67" s="3"/>
      <c r="Q67" s="3"/>
      <c r="R67" s="3"/>
      <c r="S67" s="3"/>
      <c r="T67" s="3"/>
      <c r="U67" s="3"/>
      <c r="V67" s="3"/>
      <c r="W67" s="3"/>
      <c r="X67" s="3"/>
    </row>
    <row r="68" spans="1:24" ht="15.75" customHeight="1" x14ac:dyDescent="0.3">
      <c r="A68" s="3"/>
      <c r="B68" s="65"/>
      <c r="C68" s="3"/>
      <c r="D68" s="3"/>
      <c r="E68" s="3"/>
      <c r="F68" s="3"/>
      <c r="G68" s="3"/>
      <c r="H68" s="3"/>
      <c r="I68" s="3"/>
      <c r="J68" s="3"/>
      <c r="K68" s="3"/>
      <c r="L68" s="3"/>
      <c r="M68" s="3"/>
      <c r="N68" s="3"/>
      <c r="O68" s="3"/>
      <c r="P68" s="3"/>
      <c r="Q68" s="3"/>
      <c r="R68" s="3"/>
      <c r="S68" s="3"/>
      <c r="T68" s="3"/>
      <c r="U68" s="3"/>
      <c r="V68" s="3"/>
      <c r="W68" s="3"/>
      <c r="X68" s="3"/>
    </row>
    <row r="69" spans="1:24" ht="15.75" customHeight="1" x14ac:dyDescent="0.3">
      <c r="A69" s="3"/>
      <c r="B69" s="65"/>
      <c r="C69" s="3"/>
      <c r="D69" s="3"/>
      <c r="E69" s="3"/>
      <c r="F69" s="3"/>
      <c r="G69" s="3"/>
      <c r="H69" s="3"/>
      <c r="I69" s="3"/>
      <c r="J69" s="3"/>
      <c r="K69" s="3"/>
      <c r="L69" s="3"/>
      <c r="M69" s="3"/>
      <c r="N69" s="3"/>
      <c r="O69" s="3"/>
      <c r="P69" s="3"/>
      <c r="Q69" s="3"/>
      <c r="R69" s="3"/>
      <c r="S69" s="3"/>
      <c r="T69" s="3"/>
      <c r="U69" s="3"/>
      <c r="V69" s="3"/>
      <c r="W69" s="3"/>
      <c r="X69" s="3"/>
    </row>
    <row r="70" spans="1:24" ht="15.75" customHeight="1" x14ac:dyDescent="0.3">
      <c r="A70" s="3"/>
      <c r="B70" s="65"/>
      <c r="C70" s="3"/>
      <c r="D70" s="3"/>
      <c r="E70" s="3"/>
      <c r="F70" s="3"/>
      <c r="G70" s="3"/>
      <c r="H70" s="3"/>
      <c r="I70" s="3"/>
      <c r="J70" s="3"/>
      <c r="K70" s="3"/>
      <c r="L70" s="3"/>
      <c r="M70" s="3"/>
      <c r="N70" s="3"/>
      <c r="O70" s="3"/>
      <c r="P70" s="3"/>
      <c r="Q70" s="3"/>
      <c r="R70" s="3"/>
      <c r="S70" s="3"/>
      <c r="T70" s="3"/>
      <c r="U70" s="3"/>
      <c r="V70" s="3"/>
      <c r="W70" s="3"/>
      <c r="X70" s="3"/>
    </row>
    <row r="71" spans="1:24" ht="15.75" customHeight="1" x14ac:dyDescent="0.3">
      <c r="A71" s="3"/>
      <c r="B71" s="65"/>
      <c r="C71" s="3"/>
      <c r="D71" s="3"/>
      <c r="E71" s="3"/>
      <c r="F71" s="3"/>
      <c r="G71" s="3"/>
      <c r="H71" s="3"/>
      <c r="I71" s="3"/>
      <c r="J71" s="3"/>
      <c r="K71" s="3"/>
      <c r="L71" s="3"/>
      <c r="M71" s="3"/>
      <c r="N71" s="3"/>
      <c r="O71" s="3"/>
      <c r="P71" s="3"/>
      <c r="Q71" s="3"/>
      <c r="R71" s="3"/>
      <c r="S71" s="3"/>
      <c r="T71" s="3"/>
      <c r="U71" s="3"/>
      <c r="V71" s="3"/>
      <c r="W71" s="3"/>
      <c r="X71" s="3"/>
    </row>
    <row r="72" spans="1:24" ht="15.75" customHeight="1" x14ac:dyDescent="0.3">
      <c r="A72" s="3"/>
      <c r="B72" s="65"/>
      <c r="C72" s="3"/>
      <c r="D72" s="3"/>
      <c r="E72" s="3"/>
      <c r="F72" s="3"/>
      <c r="G72" s="3"/>
      <c r="H72" s="3"/>
      <c r="I72" s="3"/>
      <c r="J72" s="3"/>
      <c r="K72" s="3"/>
      <c r="L72" s="3"/>
      <c r="M72" s="3"/>
      <c r="N72" s="3"/>
      <c r="O72" s="3"/>
      <c r="P72" s="3"/>
      <c r="Q72" s="3"/>
      <c r="R72" s="3"/>
      <c r="S72" s="3"/>
      <c r="T72" s="3"/>
      <c r="U72" s="3"/>
      <c r="V72" s="3"/>
      <c r="W72" s="3"/>
      <c r="X72" s="3"/>
    </row>
    <row r="73" spans="1:24" ht="15.75" customHeight="1" x14ac:dyDescent="0.3">
      <c r="A73" s="3"/>
      <c r="B73" s="65"/>
      <c r="C73" s="3"/>
      <c r="D73" s="3"/>
      <c r="E73" s="3"/>
      <c r="F73" s="3"/>
      <c r="G73" s="3"/>
      <c r="H73" s="3"/>
      <c r="I73" s="3"/>
      <c r="J73" s="3"/>
      <c r="K73" s="3"/>
      <c r="L73" s="3"/>
      <c r="M73" s="3"/>
      <c r="N73" s="3"/>
      <c r="O73" s="3"/>
      <c r="P73" s="3"/>
      <c r="Q73" s="3"/>
      <c r="R73" s="3"/>
      <c r="S73" s="3"/>
      <c r="T73" s="3"/>
      <c r="U73" s="3"/>
      <c r="V73" s="3"/>
      <c r="W73" s="3"/>
      <c r="X73" s="3"/>
    </row>
    <row r="74" spans="1:24" ht="15.75" customHeight="1" x14ac:dyDescent="0.3">
      <c r="A74" s="3"/>
      <c r="B74" s="65"/>
      <c r="C74" s="3"/>
      <c r="D74" s="3"/>
      <c r="E74" s="3"/>
      <c r="F74" s="3"/>
      <c r="G74" s="3"/>
      <c r="H74" s="3"/>
      <c r="I74" s="3"/>
      <c r="J74" s="3"/>
      <c r="K74" s="3"/>
      <c r="L74" s="3"/>
      <c r="M74" s="3"/>
      <c r="N74" s="3"/>
      <c r="O74" s="3"/>
      <c r="P74" s="3"/>
      <c r="Q74" s="3"/>
      <c r="R74" s="3"/>
      <c r="S74" s="3"/>
      <c r="T74" s="3"/>
      <c r="U74" s="3"/>
      <c r="V74" s="3"/>
      <c r="W74" s="3"/>
      <c r="X74" s="3"/>
    </row>
    <row r="75" spans="1:24" ht="15.75" customHeight="1" x14ac:dyDescent="0.3">
      <c r="A75" s="3"/>
      <c r="B75" s="65"/>
      <c r="C75" s="3"/>
      <c r="D75" s="3"/>
      <c r="E75" s="3"/>
      <c r="F75" s="3"/>
      <c r="G75" s="3"/>
      <c r="H75" s="3"/>
      <c r="I75" s="3"/>
      <c r="J75" s="3"/>
      <c r="K75" s="3"/>
      <c r="L75" s="3"/>
      <c r="M75" s="3"/>
      <c r="N75" s="3"/>
      <c r="O75" s="3"/>
      <c r="P75" s="3"/>
      <c r="Q75" s="3"/>
      <c r="R75" s="3"/>
      <c r="S75" s="3"/>
      <c r="T75" s="3"/>
      <c r="U75" s="3"/>
      <c r="V75" s="3"/>
      <c r="W75" s="3"/>
      <c r="X75" s="3"/>
    </row>
    <row r="76" spans="1:24" ht="15.75" customHeight="1" x14ac:dyDescent="0.3">
      <c r="A76" s="3"/>
      <c r="B76" s="65"/>
      <c r="C76" s="3"/>
      <c r="D76" s="3"/>
      <c r="E76" s="3"/>
      <c r="F76" s="3"/>
      <c r="G76" s="3"/>
      <c r="H76" s="3"/>
      <c r="I76" s="3"/>
      <c r="J76" s="3"/>
      <c r="K76" s="3"/>
      <c r="L76" s="3"/>
      <c r="M76" s="3"/>
      <c r="N76" s="3"/>
      <c r="O76" s="3"/>
      <c r="P76" s="3"/>
      <c r="Q76" s="3"/>
      <c r="R76" s="3"/>
      <c r="S76" s="3"/>
      <c r="T76" s="3"/>
      <c r="U76" s="3"/>
      <c r="V76" s="3"/>
      <c r="W76" s="3"/>
      <c r="X76" s="3"/>
    </row>
    <row r="77" spans="1:24" ht="15.75" customHeight="1" x14ac:dyDescent="0.3">
      <c r="A77" s="3"/>
      <c r="B77" s="65"/>
      <c r="C77" s="3"/>
      <c r="D77" s="3"/>
      <c r="E77" s="3"/>
      <c r="F77" s="3"/>
      <c r="G77" s="3"/>
      <c r="H77" s="3"/>
      <c r="I77" s="3"/>
      <c r="J77" s="3"/>
      <c r="K77" s="3"/>
      <c r="L77" s="3"/>
      <c r="M77" s="3"/>
      <c r="N77" s="3"/>
      <c r="O77" s="3"/>
      <c r="P77" s="3"/>
      <c r="Q77" s="3"/>
      <c r="R77" s="3"/>
      <c r="S77" s="3"/>
      <c r="T77" s="3"/>
      <c r="U77" s="3"/>
      <c r="V77" s="3"/>
      <c r="W77" s="3"/>
      <c r="X77" s="3"/>
    </row>
    <row r="78" spans="1:24" ht="15.75" customHeight="1" x14ac:dyDescent="0.3">
      <c r="A78" s="3"/>
      <c r="B78" s="65"/>
      <c r="C78" s="3"/>
      <c r="D78" s="3"/>
      <c r="E78" s="3"/>
      <c r="F78" s="3"/>
      <c r="G78" s="3"/>
      <c r="H78" s="3"/>
      <c r="I78" s="3"/>
      <c r="J78" s="3"/>
      <c r="K78" s="3"/>
      <c r="L78" s="3"/>
      <c r="M78" s="3"/>
      <c r="N78" s="3"/>
      <c r="O78" s="3"/>
      <c r="P78" s="3"/>
      <c r="Q78" s="3"/>
      <c r="R78" s="3"/>
      <c r="S78" s="3"/>
      <c r="T78" s="3"/>
      <c r="U78" s="3"/>
      <c r="V78" s="3"/>
      <c r="W78" s="3"/>
      <c r="X78" s="3"/>
    </row>
    <row r="79" spans="1:24" ht="15.75" customHeight="1" x14ac:dyDescent="0.3">
      <c r="A79" s="3"/>
      <c r="B79" s="65"/>
      <c r="C79" s="3"/>
      <c r="D79" s="3"/>
      <c r="E79" s="3"/>
      <c r="F79" s="3"/>
      <c r="G79" s="3"/>
      <c r="H79" s="3"/>
      <c r="I79" s="3"/>
      <c r="J79" s="3"/>
      <c r="K79" s="3"/>
      <c r="L79" s="3"/>
      <c r="M79" s="3"/>
      <c r="N79" s="3"/>
      <c r="O79" s="3"/>
      <c r="P79" s="3"/>
      <c r="Q79" s="3"/>
      <c r="R79" s="3"/>
      <c r="S79" s="3"/>
      <c r="T79" s="3"/>
      <c r="U79" s="3"/>
      <c r="V79" s="3"/>
      <c r="W79" s="3"/>
      <c r="X79" s="3"/>
    </row>
    <row r="80" spans="1:24" ht="15.75" customHeight="1" x14ac:dyDescent="0.3">
      <c r="A80" s="3"/>
      <c r="B80" s="65"/>
      <c r="C80" s="3"/>
      <c r="D80" s="3"/>
      <c r="E80" s="3"/>
      <c r="F80" s="3"/>
      <c r="G80" s="3"/>
      <c r="H80" s="3"/>
      <c r="I80" s="3"/>
      <c r="J80" s="3"/>
      <c r="K80" s="3"/>
      <c r="L80" s="3"/>
      <c r="M80" s="3"/>
      <c r="N80" s="3"/>
      <c r="O80" s="3"/>
      <c r="P80" s="3"/>
      <c r="Q80" s="3"/>
      <c r="R80" s="3"/>
      <c r="S80" s="3"/>
      <c r="T80" s="3"/>
      <c r="U80" s="3"/>
      <c r="V80" s="3"/>
      <c r="W80" s="3"/>
      <c r="X80" s="3"/>
    </row>
    <row r="81" spans="1:24" ht="15.75" customHeight="1" x14ac:dyDescent="0.3">
      <c r="A81" s="3"/>
      <c r="B81" s="65"/>
      <c r="C81" s="3"/>
      <c r="D81" s="3"/>
      <c r="E81" s="3"/>
      <c r="F81" s="3"/>
      <c r="G81" s="3"/>
      <c r="H81" s="3"/>
      <c r="I81" s="3"/>
      <c r="J81" s="3"/>
      <c r="K81" s="3"/>
      <c r="L81" s="3"/>
      <c r="M81" s="3"/>
      <c r="N81" s="3"/>
      <c r="O81" s="3"/>
      <c r="P81" s="3"/>
      <c r="Q81" s="3"/>
      <c r="R81" s="3"/>
      <c r="S81" s="3"/>
      <c r="T81" s="3"/>
      <c r="U81" s="3"/>
      <c r="V81" s="3"/>
      <c r="W81" s="3"/>
      <c r="X81" s="3"/>
    </row>
    <row r="82" spans="1:24" ht="15.75" customHeight="1" x14ac:dyDescent="0.3">
      <c r="A82" s="3"/>
      <c r="B82" s="65"/>
      <c r="C82" s="3"/>
      <c r="D82" s="3"/>
      <c r="E82" s="3"/>
      <c r="F82" s="3"/>
      <c r="G82" s="3"/>
      <c r="H82" s="3"/>
      <c r="I82" s="3"/>
      <c r="J82" s="3"/>
      <c r="K82" s="3"/>
      <c r="L82" s="3"/>
      <c r="M82" s="3"/>
      <c r="N82" s="3"/>
      <c r="O82" s="3"/>
      <c r="P82" s="3"/>
      <c r="Q82" s="3"/>
      <c r="R82" s="3"/>
      <c r="S82" s="3"/>
      <c r="T82" s="3"/>
      <c r="U82" s="3"/>
      <c r="V82" s="3"/>
      <c r="W82" s="3"/>
      <c r="X82" s="3"/>
    </row>
    <row r="83" spans="1:24" ht="15.75" customHeight="1" x14ac:dyDescent="0.3">
      <c r="A83" s="3"/>
      <c r="B83" s="65"/>
      <c r="C83" s="3"/>
      <c r="D83" s="3"/>
      <c r="E83" s="3"/>
      <c r="F83" s="3"/>
      <c r="G83" s="3"/>
      <c r="H83" s="3"/>
      <c r="I83" s="3"/>
      <c r="J83" s="3"/>
      <c r="K83" s="3"/>
      <c r="L83" s="3"/>
      <c r="M83" s="3"/>
      <c r="N83" s="3"/>
      <c r="O83" s="3"/>
      <c r="P83" s="3"/>
      <c r="Q83" s="3"/>
      <c r="R83" s="3"/>
      <c r="S83" s="3"/>
      <c r="T83" s="3"/>
      <c r="U83" s="3"/>
      <c r="V83" s="3"/>
      <c r="W83" s="3"/>
      <c r="X83" s="3"/>
    </row>
    <row r="84" spans="1:24" ht="15.75" customHeight="1" x14ac:dyDescent="0.3">
      <c r="A84" s="3"/>
      <c r="B84" s="65"/>
      <c r="C84" s="3"/>
      <c r="D84" s="3"/>
      <c r="E84" s="3"/>
      <c r="F84" s="3"/>
      <c r="G84" s="3"/>
      <c r="H84" s="3"/>
      <c r="I84" s="3"/>
      <c r="J84" s="3"/>
      <c r="K84" s="3"/>
      <c r="L84" s="3"/>
      <c r="M84" s="3"/>
      <c r="N84" s="3"/>
      <c r="O84" s="3"/>
      <c r="P84" s="3"/>
      <c r="Q84" s="3"/>
      <c r="R84" s="3"/>
      <c r="S84" s="3"/>
      <c r="T84" s="3"/>
      <c r="U84" s="3"/>
      <c r="V84" s="3"/>
      <c r="W84" s="3"/>
      <c r="X84" s="3"/>
    </row>
    <row r="85" spans="1:24" ht="15.75" customHeight="1" x14ac:dyDescent="0.3">
      <c r="A85" s="3"/>
      <c r="B85" s="65"/>
      <c r="C85" s="3"/>
      <c r="D85" s="3"/>
      <c r="E85" s="3"/>
      <c r="F85" s="3"/>
      <c r="G85" s="3"/>
      <c r="H85" s="3"/>
      <c r="I85" s="3"/>
      <c r="J85" s="3"/>
      <c r="K85" s="3"/>
      <c r="L85" s="3"/>
      <c r="M85" s="3"/>
      <c r="N85" s="3"/>
      <c r="O85" s="3"/>
      <c r="P85" s="3"/>
      <c r="Q85" s="3"/>
      <c r="R85" s="3"/>
      <c r="S85" s="3"/>
      <c r="T85" s="3"/>
      <c r="U85" s="3"/>
      <c r="V85" s="3"/>
      <c r="W85" s="3"/>
      <c r="X85" s="3"/>
    </row>
    <row r="86" spans="1:24" ht="15.75" customHeight="1" x14ac:dyDescent="0.3">
      <c r="A86" s="3"/>
      <c r="B86" s="65"/>
      <c r="C86" s="3"/>
      <c r="D86" s="3"/>
      <c r="E86" s="3"/>
      <c r="F86" s="3"/>
      <c r="G86" s="3"/>
      <c r="H86" s="3"/>
      <c r="I86" s="3"/>
      <c r="J86" s="3"/>
      <c r="K86" s="3"/>
      <c r="L86" s="3"/>
      <c r="M86" s="3"/>
      <c r="N86" s="3"/>
      <c r="O86" s="3"/>
      <c r="P86" s="3"/>
      <c r="Q86" s="3"/>
      <c r="R86" s="3"/>
      <c r="S86" s="3"/>
      <c r="T86" s="3"/>
      <c r="U86" s="3"/>
      <c r="V86" s="3"/>
      <c r="W86" s="3"/>
      <c r="X86" s="3"/>
    </row>
    <row r="87" spans="1:24" ht="15.75" customHeight="1" x14ac:dyDescent="0.3">
      <c r="A87" s="3"/>
      <c r="B87" s="65"/>
      <c r="C87" s="3"/>
      <c r="D87" s="3"/>
      <c r="E87" s="3"/>
      <c r="F87" s="3"/>
      <c r="G87" s="3"/>
      <c r="H87" s="3"/>
      <c r="I87" s="3"/>
      <c r="J87" s="3"/>
      <c r="K87" s="3"/>
      <c r="L87" s="3"/>
      <c r="M87" s="3"/>
      <c r="N87" s="3"/>
      <c r="O87" s="3"/>
      <c r="P87" s="3"/>
      <c r="Q87" s="3"/>
      <c r="R87" s="3"/>
      <c r="S87" s="3"/>
      <c r="T87" s="3"/>
      <c r="U87" s="3"/>
      <c r="V87" s="3"/>
      <c r="W87" s="3"/>
      <c r="X87" s="3"/>
    </row>
    <row r="88" spans="1:24" ht="15.75" customHeight="1" x14ac:dyDescent="0.3">
      <c r="A88" s="3"/>
      <c r="B88" s="65"/>
      <c r="C88" s="3"/>
      <c r="D88" s="3"/>
      <c r="E88" s="3"/>
      <c r="F88" s="3"/>
      <c r="G88" s="3"/>
      <c r="H88" s="3"/>
      <c r="I88" s="3"/>
      <c r="J88" s="3"/>
      <c r="K88" s="3"/>
      <c r="L88" s="3"/>
      <c r="M88" s="3"/>
      <c r="N88" s="3"/>
      <c r="O88" s="3"/>
      <c r="P88" s="3"/>
      <c r="Q88" s="3"/>
      <c r="R88" s="3"/>
      <c r="S88" s="3"/>
      <c r="T88" s="3"/>
      <c r="U88" s="3"/>
      <c r="V88" s="3"/>
      <c r="W88" s="3"/>
      <c r="X88" s="3"/>
    </row>
    <row r="89" spans="1:24" ht="15.75" customHeight="1" x14ac:dyDescent="0.3">
      <c r="A89" s="3"/>
      <c r="B89" s="65"/>
      <c r="C89" s="3"/>
      <c r="D89" s="3"/>
      <c r="E89" s="3"/>
      <c r="F89" s="3"/>
      <c r="G89" s="3"/>
      <c r="H89" s="3"/>
      <c r="I89" s="3"/>
      <c r="J89" s="3"/>
      <c r="K89" s="3"/>
      <c r="L89" s="3"/>
      <c r="M89" s="3"/>
      <c r="N89" s="3"/>
      <c r="O89" s="3"/>
      <c r="P89" s="3"/>
      <c r="Q89" s="3"/>
      <c r="R89" s="3"/>
      <c r="S89" s="3"/>
      <c r="T89" s="3"/>
      <c r="U89" s="3"/>
      <c r="V89" s="3"/>
      <c r="W89" s="3"/>
      <c r="X89" s="3"/>
    </row>
    <row r="90" spans="1:24" ht="15.75" customHeight="1" x14ac:dyDescent="0.3">
      <c r="A90" s="3"/>
      <c r="B90" s="65"/>
      <c r="C90" s="3"/>
      <c r="D90" s="3"/>
      <c r="E90" s="3"/>
      <c r="F90" s="3"/>
      <c r="G90" s="3"/>
      <c r="H90" s="3"/>
      <c r="I90" s="3"/>
      <c r="J90" s="3"/>
      <c r="K90" s="3"/>
      <c r="L90" s="3"/>
      <c r="M90" s="3"/>
      <c r="N90" s="3"/>
      <c r="O90" s="3"/>
      <c r="P90" s="3"/>
      <c r="Q90" s="3"/>
      <c r="R90" s="3"/>
      <c r="S90" s="3"/>
      <c r="T90" s="3"/>
      <c r="U90" s="3"/>
      <c r="V90" s="3"/>
      <c r="W90" s="3"/>
      <c r="X90" s="3"/>
    </row>
    <row r="91" spans="1:24" ht="15.75" customHeight="1" x14ac:dyDescent="0.3">
      <c r="A91" s="3"/>
      <c r="B91" s="65"/>
      <c r="C91" s="3"/>
      <c r="D91" s="3"/>
      <c r="E91" s="3"/>
      <c r="F91" s="3"/>
      <c r="G91" s="3"/>
      <c r="H91" s="3"/>
      <c r="I91" s="3"/>
      <c r="J91" s="3"/>
      <c r="K91" s="3"/>
      <c r="L91" s="3"/>
      <c r="M91" s="3"/>
      <c r="N91" s="3"/>
      <c r="O91" s="3"/>
      <c r="P91" s="3"/>
      <c r="Q91" s="3"/>
      <c r="R91" s="3"/>
      <c r="S91" s="3"/>
      <c r="T91" s="3"/>
      <c r="U91" s="3"/>
      <c r="V91" s="3"/>
      <c r="W91" s="3"/>
      <c r="X91" s="3"/>
    </row>
    <row r="92" spans="1:24" ht="15.75" customHeight="1" x14ac:dyDescent="0.3">
      <c r="A92" s="3"/>
      <c r="B92" s="65"/>
      <c r="C92" s="3"/>
      <c r="D92" s="3"/>
      <c r="E92" s="3"/>
      <c r="F92" s="3"/>
      <c r="G92" s="3"/>
      <c r="H92" s="3"/>
      <c r="I92" s="3"/>
      <c r="J92" s="3"/>
      <c r="K92" s="3"/>
      <c r="L92" s="3"/>
      <c r="M92" s="3"/>
      <c r="N92" s="3"/>
      <c r="O92" s="3"/>
      <c r="P92" s="3"/>
      <c r="Q92" s="3"/>
      <c r="R92" s="3"/>
      <c r="S92" s="3"/>
      <c r="T92" s="3"/>
      <c r="U92" s="3"/>
      <c r="V92" s="3"/>
      <c r="W92" s="3"/>
      <c r="X92" s="3"/>
    </row>
    <row r="93" spans="1:24" ht="15.75" customHeight="1" x14ac:dyDescent="0.3">
      <c r="A93" s="3"/>
      <c r="B93" s="65"/>
      <c r="C93" s="3"/>
      <c r="D93" s="3"/>
      <c r="E93" s="3"/>
      <c r="F93" s="3"/>
      <c r="G93" s="3"/>
      <c r="H93" s="3"/>
      <c r="I93" s="3"/>
      <c r="J93" s="3"/>
      <c r="K93" s="3"/>
      <c r="L93" s="3"/>
      <c r="M93" s="3"/>
      <c r="N93" s="3"/>
      <c r="O93" s="3"/>
      <c r="P93" s="3"/>
      <c r="Q93" s="3"/>
      <c r="R93" s="3"/>
      <c r="S93" s="3"/>
      <c r="T93" s="3"/>
      <c r="U93" s="3"/>
      <c r="V93" s="3"/>
      <c r="W93" s="3"/>
      <c r="X93" s="3"/>
    </row>
    <row r="94" spans="1:24" ht="15.75" customHeight="1" x14ac:dyDescent="0.3">
      <c r="A94" s="3"/>
      <c r="B94" s="65"/>
      <c r="C94" s="3"/>
      <c r="D94" s="3"/>
      <c r="E94" s="3"/>
      <c r="F94" s="3"/>
      <c r="G94" s="3"/>
      <c r="H94" s="3"/>
      <c r="I94" s="3"/>
      <c r="J94" s="3"/>
      <c r="K94" s="3"/>
      <c r="L94" s="3"/>
      <c r="M94" s="3"/>
      <c r="N94" s="3"/>
      <c r="O94" s="3"/>
      <c r="P94" s="3"/>
      <c r="Q94" s="3"/>
      <c r="R94" s="3"/>
      <c r="S94" s="3"/>
      <c r="T94" s="3"/>
      <c r="U94" s="3"/>
      <c r="V94" s="3"/>
      <c r="W94" s="3"/>
      <c r="X94" s="3"/>
    </row>
    <row r="95" spans="1:24" ht="15.75" customHeight="1" x14ac:dyDescent="0.3">
      <c r="A95" s="3"/>
      <c r="B95" s="65"/>
      <c r="C95" s="3"/>
      <c r="D95" s="3"/>
      <c r="E95" s="3"/>
      <c r="F95" s="3"/>
      <c r="G95" s="3"/>
      <c r="H95" s="3"/>
      <c r="I95" s="3"/>
      <c r="J95" s="3"/>
      <c r="K95" s="3"/>
      <c r="L95" s="3"/>
      <c r="M95" s="3"/>
      <c r="N95" s="3"/>
      <c r="O95" s="3"/>
      <c r="P95" s="3"/>
      <c r="Q95" s="3"/>
      <c r="R95" s="3"/>
      <c r="S95" s="3"/>
      <c r="T95" s="3"/>
      <c r="U95" s="3"/>
      <c r="V95" s="3"/>
      <c r="W95" s="3"/>
      <c r="X95" s="3"/>
    </row>
    <row r="96" spans="1:24" ht="15.75" customHeight="1" x14ac:dyDescent="0.3">
      <c r="A96" s="3"/>
      <c r="B96" s="65"/>
      <c r="C96" s="3"/>
      <c r="D96" s="3"/>
      <c r="E96" s="3"/>
      <c r="F96" s="3"/>
      <c r="G96" s="3"/>
      <c r="H96" s="3"/>
      <c r="I96" s="3"/>
      <c r="J96" s="3"/>
      <c r="K96" s="3"/>
      <c r="L96" s="3"/>
      <c r="M96" s="3"/>
      <c r="N96" s="3"/>
      <c r="O96" s="3"/>
      <c r="P96" s="3"/>
      <c r="Q96" s="3"/>
      <c r="R96" s="3"/>
      <c r="S96" s="3"/>
      <c r="T96" s="3"/>
      <c r="U96" s="3"/>
      <c r="V96" s="3"/>
      <c r="W96" s="3"/>
      <c r="X96" s="3"/>
    </row>
    <row r="97" spans="1:24" ht="15.75" customHeight="1" x14ac:dyDescent="0.3">
      <c r="A97" s="3"/>
      <c r="B97" s="65"/>
      <c r="C97" s="3"/>
      <c r="D97" s="3"/>
      <c r="E97" s="3"/>
      <c r="F97" s="3"/>
      <c r="G97" s="3"/>
      <c r="H97" s="3"/>
      <c r="I97" s="3"/>
      <c r="J97" s="3"/>
      <c r="K97" s="3"/>
      <c r="L97" s="3"/>
      <c r="M97" s="3"/>
      <c r="N97" s="3"/>
      <c r="O97" s="3"/>
      <c r="P97" s="3"/>
      <c r="Q97" s="3"/>
      <c r="R97" s="3"/>
      <c r="S97" s="3"/>
      <c r="T97" s="3"/>
      <c r="U97" s="3"/>
      <c r="V97" s="3"/>
      <c r="W97" s="3"/>
      <c r="X97" s="3"/>
    </row>
    <row r="98" spans="1:24" ht="15.75" customHeight="1" x14ac:dyDescent="0.3">
      <c r="A98" s="3"/>
      <c r="B98" s="65"/>
      <c r="C98" s="3"/>
      <c r="D98" s="3"/>
      <c r="E98" s="3"/>
      <c r="F98" s="3"/>
      <c r="G98" s="3"/>
      <c r="H98" s="3"/>
      <c r="I98" s="3"/>
      <c r="J98" s="3"/>
      <c r="K98" s="3"/>
      <c r="L98" s="3"/>
      <c r="M98" s="3"/>
      <c r="N98" s="3"/>
      <c r="O98" s="3"/>
      <c r="P98" s="3"/>
      <c r="Q98" s="3"/>
      <c r="R98" s="3"/>
      <c r="S98" s="3"/>
      <c r="T98" s="3"/>
      <c r="U98" s="3"/>
      <c r="V98" s="3"/>
      <c r="W98" s="3"/>
      <c r="X98" s="3"/>
    </row>
    <row r="99" spans="1:24" ht="15.75" customHeight="1" x14ac:dyDescent="0.3">
      <c r="A99" s="3"/>
      <c r="B99" s="65"/>
      <c r="C99" s="3"/>
      <c r="D99" s="3"/>
      <c r="E99" s="3"/>
      <c r="F99" s="3"/>
      <c r="G99" s="3"/>
      <c r="H99" s="3"/>
      <c r="I99" s="3"/>
      <c r="J99" s="3"/>
      <c r="K99" s="3"/>
      <c r="L99" s="3"/>
      <c r="M99" s="3"/>
      <c r="N99" s="3"/>
      <c r="O99" s="3"/>
      <c r="P99" s="3"/>
      <c r="Q99" s="3"/>
      <c r="R99" s="3"/>
      <c r="S99" s="3"/>
      <c r="T99" s="3"/>
      <c r="U99" s="3"/>
      <c r="V99" s="3"/>
      <c r="W99" s="3"/>
      <c r="X99" s="3"/>
    </row>
    <row r="100" spans="1:24" ht="15.75" customHeight="1" x14ac:dyDescent="0.3">
      <c r="A100" s="3"/>
      <c r="B100" s="65"/>
      <c r="C100" s="3"/>
      <c r="D100" s="3"/>
      <c r="E100" s="3"/>
      <c r="F100" s="3"/>
      <c r="G100" s="3"/>
      <c r="H100" s="3"/>
      <c r="I100" s="3"/>
      <c r="J100" s="3"/>
      <c r="K100" s="3"/>
      <c r="L100" s="3"/>
      <c r="M100" s="3"/>
      <c r="N100" s="3"/>
      <c r="O100" s="3"/>
      <c r="P100" s="3"/>
      <c r="Q100" s="3"/>
      <c r="R100" s="3"/>
      <c r="S100" s="3"/>
      <c r="T100" s="3"/>
      <c r="U100" s="3"/>
      <c r="V100" s="3"/>
      <c r="W100" s="3"/>
      <c r="X100" s="3"/>
    </row>
    <row r="101" spans="1:24" ht="15.75" customHeight="1" x14ac:dyDescent="0.3">
      <c r="A101" s="3"/>
      <c r="B101" s="65"/>
      <c r="C101" s="3"/>
      <c r="D101" s="3"/>
      <c r="E101" s="3"/>
      <c r="F101" s="3"/>
      <c r="G101" s="3"/>
      <c r="H101" s="3"/>
      <c r="I101" s="3"/>
      <c r="J101" s="3"/>
      <c r="K101" s="3"/>
      <c r="L101" s="3"/>
      <c r="M101" s="3"/>
      <c r="N101" s="3"/>
      <c r="O101" s="3"/>
      <c r="P101" s="3"/>
      <c r="Q101" s="3"/>
      <c r="R101" s="3"/>
      <c r="S101" s="3"/>
      <c r="T101" s="3"/>
      <c r="U101" s="3"/>
      <c r="V101" s="3"/>
      <c r="W101" s="3"/>
      <c r="X101" s="3"/>
    </row>
    <row r="102" spans="1:24" ht="15.75" customHeight="1" x14ac:dyDescent="0.3">
      <c r="A102" s="3"/>
      <c r="B102" s="65"/>
      <c r="C102" s="3"/>
      <c r="D102" s="3"/>
      <c r="E102" s="3"/>
      <c r="F102" s="3"/>
      <c r="G102" s="3"/>
      <c r="H102" s="3"/>
      <c r="I102" s="3"/>
      <c r="J102" s="3"/>
      <c r="K102" s="3"/>
      <c r="L102" s="3"/>
      <c r="M102" s="3"/>
      <c r="N102" s="3"/>
      <c r="O102" s="3"/>
      <c r="P102" s="3"/>
      <c r="Q102" s="3"/>
      <c r="R102" s="3"/>
      <c r="S102" s="3"/>
      <c r="T102" s="3"/>
      <c r="U102" s="3"/>
      <c r="V102" s="3"/>
      <c r="W102" s="3"/>
      <c r="X102" s="3"/>
    </row>
    <row r="103" spans="1:24" ht="15.75" customHeight="1" x14ac:dyDescent="0.3">
      <c r="A103" s="3"/>
      <c r="B103" s="65"/>
      <c r="C103" s="3"/>
      <c r="D103" s="3"/>
      <c r="E103" s="3"/>
      <c r="F103" s="3"/>
      <c r="G103" s="3"/>
      <c r="H103" s="3"/>
      <c r="I103" s="3"/>
      <c r="J103" s="3"/>
      <c r="K103" s="3"/>
      <c r="L103" s="3"/>
      <c r="M103" s="3"/>
      <c r="N103" s="3"/>
      <c r="O103" s="3"/>
      <c r="P103" s="3"/>
      <c r="Q103" s="3"/>
      <c r="R103" s="3"/>
      <c r="S103" s="3"/>
      <c r="T103" s="3"/>
      <c r="U103" s="3"/>
      <c r="V103" s="3"/>
      <c r="W103" s="3"/>
      <c r="X103" s="3"/>
    </row>
    <row r="104" spans="1:24" ht="15.75" customHeight="1" x14ac:dyDescent="0.3">
      <c r="A104" s="3"/>
      <c r="B104" s="65"/>
      <c r="C104" s="3"/>
      <c r="D104" s="3"/>
      <c r="E104" s="3"/>
      <c r="F104" s="3"/>
      <c r="G104" s="3"/>
      <c r="H104" s="3"/>
      <c r="I104" s="3"/>
      <c r="J104" s="3"/>
      <c r="K104" s="3"/>
      <c r="L104" s="3"/>
      <c r="M104" s="3"/>
      <c r="N104" s="3"/>
      <c r="O104" s="3"/>
      <c r="P104" s="3"/>
      <c r="Q104" s="3"/>
      <c r="R104" s="3"/>
      <c r="S104" s="3"/>
      <c r="T104" s="3"/>
      <c r="U104" s="3"/>
      <c r="V104" s="3"/>
      <c r="W104" s="3"/>
      <c r="X104" s="3"/>
    </row>
    <row r="105" spans="1:24" ht="15.75" customHeight="1" x14ac:dyDescent="0.3">
      <c r="A105" s="3"/>
      <c r="B105" s="65"/>
      <c r="C105" s="3"/>
      <c r="D105" s="3"/>
      <c r="E105" s="3"/>
      <c r="F105" s="3"/>
      <c r="G105" s="3"/>
      <c r="H105" s="3"/>
      <c r="I105" s="3"/>
      <c r="J105" s="3"/>
      <c r="K105" s="3"/>
      <c r="L105" s="3"/>
      <c r="M105" s="3"/>
      <c r="N105" s="3"/>
      <c r="O105" s="3"/>
      <c r="P105" s="3"/>
      <c r="Q105" s="3"/>
      <c r="R105" s="3"/>
      <c r="S105" s="3"/>
      <c r="T105" s="3"/>
      <c r="U105" s="3"/>
      <c r="V105" s="3"/>
      <c r="W105" s="3"/>
      <c r="X105" s="3"/>
    </row>
    <row r="106" spans="1:24" ht="15.75" customHeight="1" x14ac:dyDescent="0.3">
      <c r="A106" s="3"/>
      <c r="B106" s="65"/>
      <c r="C106" s="3"/>
      <c r="D106" s="3"/>
      <c r="E106" s="3"/>
      <c r="F106" s="3"/>
      <c r="G106" s="3"/>
      <c r="H106" s="3"/>
      <c r="I106" s="3"/>
      <c r="J106" s="3"/>
      <c r="K106" s="3"/>
      <c r="L106" s="3"/>
      <c r="M106" s="3"/>
      <c r="N106" s="3"/>
      <c r="O106" s="3"/>
      <c r="P106" s="3"/>
      <c r="Q106" s="3"/>
      <c r="R106" s="3"/>
      <c r="S106" s="3"/>
      <c r="T106" s="3"/>
      <c r="U106" s="3"/>
      <c r="V106" s="3"/>
      <c r="W106" s="3"/>
      <c r="X106" s="3"/>
    </row>
    <row r="107" spans="1:24" ht="15.75" customHeight="1" x14ac:dyDescent="0.3">
      <c r="A107" s="3"/>
      <c r="B107" s="65"/>
      <c r="C107" s="3"/>
      <c r="D107" s="3"/>
      <c r="E107" s="3"/>
      <c r="F107" s="3"/>
      <c r="G107" s="3"/>
      <c r="H107" s="3"/>
      <c r="I107" s="3"/>
      <c r="J107" s="3"/>
      <c r="K107" s="3"/>
      <c r="L107" s="3"/>
      <c r="M107" s="3"/>
      <c r="N107" s="3"/>
      <c r="O107" s="3"/>
      <c r="P107" s="3"/>
      <c r="Q107" s="3"/>
      <c r="R107" s="3"/>
      <c r="S107" s="3"/>
      <c r="T107" s="3"/>
      <c r="U107" s="3"/>
      <c r="V107" s="3"/>
      <c r="W107" s="3"/>
      <c r="X107" s="3"/>
    </row>
    <row r="108" spans="1:24" ht="15.75" customHeight="1" x14ac:dyDescent="0.3">
      <c r="A108" s="3"/>
      <c r="B108" s="65"/>
      <c r="C108" s="3"/>
      <c r="D108" s="3"/>
      <c r="E108" s="3"/>
      <c r="F108" s="3"/>
      <c r="G108" s="3"/>
      <c r="H108" s="3"/>
      <c r="I108" s="3"/>
      <c r="J108" s="3"/>
      <c r="K108" s="3"/>
      <c r="L108" s="3"/>
      <c r="M108" s="3"/>
      <c r="N108" s="3"/>
      <c r="O108" s="3"/>
      <c r="P108" s="3"/>
      <c r="Q108" s="3"/>
      <c r="R108" s="3"/>
      <c r="S108" s="3"/>
      <c r="T108" s="3"/>
      <c r="U108" s="3"/>
      <c r="V108" s="3"/>
      <c r="W108" s="3"/>
      <c r="X108" s="3"/>
    </row>
    <row r="109" spans="1:24" ht="15.75" customHeight="1" x14ac:dyDescent="0.3">
      <c r="A109" s="3"/>
      <c r="B109" s="65"/>
      <c r="C109" s="3"/>
      <c r="D109" s="3"/>
      <c r="E109" s="3"/>
      <c r="F109" s="3"/>
      <c r="G109" s="3"/>
      <c r="H109" s="3"/>
      <c r="I109" s="3"/>
      <c r="J109" s="3"/>
      <c r="K109" s="3"/>
      <c r="L109" s="3"/>
      <c r="M109" s="3"/>
      <c r="N109" s="3"/>
      <c r="O109" s="3"/>
      <c r="P109" s="3"/>
      <c r="Q109" s="3"/>
      <c r="R109" s="3"/>
      <c r="S109" s="3"/>
      <c r="T109" s="3"/>
      <c r="U109" s="3"/>
      <c r="V109" s="3"/>
      <c r="W109" s="3"/>
      <c r="X109" s="3"/>
    </row>
    <row r="110" spans="1:24" ht="15.75" customHeight="1" x14ac:dyDescent="0.3">
      <c r="A110" s="3"/>
      <c r="B110" s="65"/>
      <c r="C110" s="3"/>
      <c r="D110" s="3"/>
      <c r="E110" s="3"/>
      <c r="F110" s="3"/>
      <c r="G110" s="3"/>
      <c r="H110" s="3"/>
      <c r="I110" s="3"/>
      <c r="J110" s="3"/>
      <c r="K110" s="3"/>
      <c r="L110" s="3"/>
      <c r="M110" s="3"/>
      <c r="N110" s="3"/>
      <c r="O110" s="3"/>
      <c r="P110" s="3"/>
      <c r="Q110" s="3"/>
      <c r="R110" s="3"/>
      <c r="S110" s="3"/>
      <c r="T110" s="3"/>
      <c r="U110" s="3"/>
      <c r="V110" s="3"/>
      <c r="W110" s="3"/>
      <c r="X110" s="3"/>
    </row>
    <row r="111" spans="1:24" ht="15.75" customHeight="1" x14ac:dyDescent="0.3">
      <c r="A111" s="3"/>
      <c r="B111" s="65"/>
      <c r="C111" s="3"/>
      <c r="D111" s="3"/>
      <c r="E111" s="3"/>
      <c r="F111" s="3"/>
      <c r="G111" s="3"/>
      <c r="H111" s="3"/>
      <c r="I111" s="3"/>
      <c r="J111" s="3"/>
      <c r="K111" s="3"/>
      <c r="L111" s="3"/>
      <c r="M111" s="3"/>
      <c r="N111" s="3"/>
      <c r="O111" s="3"/>
      <c r="P111" s="3"/>
      <c r="Q111" s="3"/>
      <c r="R111" s="3"/>
      <c r="S111" s="3"/>
      <c r="T111" s="3"/>
      <c r="U111" s="3"/>
      <c r="V111" s="3"/>
      <c r="W111" s="3"/>
      <c r="X111" s="3"/>
    </row>
    <row r="112" spans="1:24" ht="15.75" customHeight="1" x14ac:dyDescent="0.3">
      <c r="A112" s="3"/>
      <c r="B112" s="65"/>
      <c r="C112" s="3"/>
      <c r="D112" s="3"/>
      <c r="E112" s="3"/>
      <c r="F112" s="3"/>
      <c r="G112" s="3"/>
      <c r="H112" s="3"/>
      <c r="I112" s="3"/>
      <c r="J112" s="3"/>
      <c r="K112" s="3"/>
      <c r="L112" s="3"/>
      <c r="M112" s="3"/>
      <c r="N112" s="3"/>
      <c r="O112" s="3"/>
      <c r="P112" s="3"/>
      <c r="Q112" s="3"/>
      <c r="R112" s="3"/>
      <c r="S112" s="3"/>
      <c r="T112" s="3"/>
      <c r="U112" s="3"/>
      <c r="V112" s="3"/>
      <c r="W112" s="3"/>
      <c r="X112" s="3"/>
    </row>
    <row r="113" spans="1:24" ht="15.75" customHeight="1" x14ac:dyDescent="0.3">
      <c r="A113" s="3"/>
      <c r="B113" s="65"/>
      <c r="C113" s="3"/>
      <c r="D113" s="3"/>
      <c r="E113" s="3"/>
      <c r="F113" s="3"/>
      <c r="G113" s="3"/>
      <c r="H113" s="3"/>
      <c r="I113" s="3"/>
      <c r="J113" s="3"/>
      <c r="K113" s="3"/>
      <c r="L113" s="3"/>
      <c r="M113" s="3"/>
      <c r="N113" s="3"/>
      <c r="O113" s="3"/>
      <c r="P113" s="3"/>
      <c r="Q113" s="3"/>
      <c r="R113" s="3"/>
      <c r="S113" s="3"/>
      <c r="T113" s="3"/>
      <c r="U113" s="3"/>
      <c r="V113" s="3"/>
      <c r="W113" s="3"/>
      <c r="X113" s="3"/>
    </row>
    <row r="114" spans="1:24" ht="15.75" customHeight="1" x14ac:dyDescent="0.3">
      <c r="A114" s="3"/>
      <c r="B114" s="65"/>
      <c r="C114" s="3"/>
      <c r="D114" s="3"/>
      <c r="E114" s="3"/>
      <c r="F114" s="3"/>
      <c r="G114" s="3"/>
      <c r="H114" s="3"/>
      <c r="I114" s="3"/>
      <c r="J114" s="3"/>
      <c r="K114" s="3"/>
      <c r="L114" s="3"/>
      <c r="M114" s="3"/>
      <c r="N114" s="3"/>
      <c r="O114" s="3"/>
      <c r="P114" s="3"/>
      <c r="Q114" s="3"/>
      <c r="R114" s="3"/>
      <c r="S114" s="3"/>
      <c r="T114" s="3"/>
      <c r="U114" s="3"/>
      <c r="V114" s="3"/>
      <c r="W114" s="3"/>
      <c r="X114" s="3"/>
    </row>
    <row r="115" spans="1:24" ht="15.75" customHeight="1" x14ac:dyDescent="0.3">
      <c r="A115" s="3"/>
      <c r="B115" s="65"/>
      <c r="C115" s="3"/>
      <c r="D115" s="3"/>
      <c r="E115" s="3"/>
      <c r="F115" s="3"/>
      <c r="G115" s="3"/>
      <c r="H115" s="3"/>
      <c r="I115" s="3"/>
      <c r="J115" s="3"/>
      <c r="K115" s="3"/>
      <c r="L115" s="3"/>
      <c r="M115" s="3"/>
      <c r="N115" s="3"/>
      <c r="O115" s="3"/>
      <c r="P115" s="3"/>
      <c r="Q115" s="3"/>
      <c r="R115" s="3"/>
      <c r="S115" s="3"/>
      <c r="T115" s="3"/>
      <c r="U115" s="3"/>
      <c r="V115" s="3"/>
      <c r="W115" s="3"/>
      <c r="X115" s="3"/>
    </row>
    <row r="116" spans="1:24" ht="15.75" customHeight="1" x14ac:dyDescent="0.3">
      <c r="A116" s="3"/>
      <c r="B116" s="65"/>
      <c r="C116" s="3"/>
      <c r="D116" s="3"/>
      <c r="E116" s="3"/>
      <c r="F116" s="3"/>
      <c r="G116" s="3"/>
      <c r="H116" s="3"/>
      <c r="I116" s="3"/>
      <c r="J116" s="3"/>
      <c r="K116" s="3"/>
      <c r="L116" s="3"/>
      <c r="M116" s="3"/>
      <c r="N116" s="3"/>
      <c r="O116" s="3"/>
      <c r="P116" s="3"/>
      <c r="Q116" s="3"/>
      <c r="R116" s="3"/>
      <c r="S116" s="3"/>
      <c r="T116" s="3"/>
      <c r="U116" s="3"/>
      <c r="V116" s="3"/>
      <c r="W116" s="3"/>
      <c r="X116" s="3"/>
    </row>
    <row r="117" spans="1:24" ht="15.75" customHeight="1" x14ac:dyDescent="0.3">
      <c r="A117" s="3"/>
      <c r="B117" s="65"/>
      <c r="C117" s="3"/>
      <c r="D117" s="3"/>
      <c r="E117" s="3"/>
      <c r="F117" s="3"/>
      <c r="G117" s="3"/>
      <c r="H117" s="3"/>
      <c r="I117" s="3"/>
      <c r="J117" s="3"/>
      <c r="K117" s="3"/>
      <c r="L117" s="3"/>
      <c r="M117" s="3"/>
      <c r="N117" s="3"/>
      <c r="O117" s="3"/>
      <c r="P117" s="3"/>
      <c r="Q117" s="3"/>
      <c r="R117" s="3"/>
      <c r="S117" s="3"/>
      <c r="T117" s="3"/>
      <c r="U117" s="3"/>
      <c r="V117" s="3"/>
      <c r="W117" s="3"/>
      <c r="X117" s="3"/>
    </row>
    <row r="118" spans="1:24" ht="15.75" customHeight="1" x14ac:dyDescent="0.3">
      <c r="A118" s="3"/>
      <c r="B118" s="65"/>
      <c r="C118" s="3"/>
      <c r="D118" s="3"/>
      <c r="E118" s="3"/>
      <c r="F118" s="3"/>
      <c r="G118" s="3"/>
      <c r="H118" s="3"/>
      <c r="I118" s="3"/>
      <c r="J118" s="3"/>
      <c r="K118" s="3"/>
      <c r="L118" s="3"/>
      <c r="M118" s="3"/>
      <c r="N118" s="3"/>
      <c r="O118" s="3"/>
      <c r="P118" s="3"/>
      <c r="Q118" s="3"/>
      <c r="R118" s="3"/>
      <c r="S118" s="3"/>
      <c r="T118" s="3"/>
      <c r="U118" s="3"/>
      <c r="V118" s="3"/>
      <c r="W118" s="3"/>
      <c r="X118" s="3"/>
    </row>
    <row r="119" spans="1:24" ht="15.75" customHeight="1" x14ac:dyDescent="0.3">
      <c r="A119" s="3"/>
      <c r="B119" s="65"/>
      <c r="C119" s="3"/>
      <c r="D119" s="3"/>
      <c r="E119" s="3"/>
      <c r="F119" s="3"/>
      <c r="G119" s="3"/>
      <c r="H119" s="3"/>
      <c r="I119" s="3"/>
      <c r="J119" s="3"/>
      <c r="K119" s="3"/>
      <c r="L119" s="3"/>
      <c r="M119" s="3"/>
      <c r="N119" s="3"/>
      <c r="O119" s="3"/>
      <c r="P119" s="3"/>
      <c r="Q119" s="3"/>
      <c r="R119" s="3"/>
      <c r="S119" s="3"/>
      <c r="T119" s="3"/>
      <c r="U119" s="3"/>
      <c r="V119" s="3"/>
      <c r="W119" s="3"/>
      <c r="X119" s="3"/>
    </row>
    <row r="120" spans="1:24" ht="15.75" customHeight="1" x14ac:dyDescent="0.3">
      <c r="A120" s="3"/>
      <c r="B120" s="65"/>
      <c r="C120" s="3"/>
      <c r="D120" s="3"/>
      <c r="E120" s="3"/>
      <c r="F120" s="3"/>
      <c r="G120" s="3"/>
      <c r="H120" s="3"/>
      <c r="I120" s="3"/>
      <c r="J120" s="3"/>
      <c r="K120" s="3"/>
      <c r="L120" s="3"/>
      <c r="M120" s="3"/>
      <c r="N120" s="3"/>
      <c r="O120" s="3"/>
      <c r="P120" s="3"/>
      <c r="Q120" s="3"/>
      <c r="R120" s="3"/>
      <c r="S120" s="3"/>
      <c r="T120" s="3"/>
      <c r="U120" s="3"/>
      <c r="V120" s="3"/>
      <c r="W120" s="3"/>
      <c r="X120" s="3"/>
    </row>
    <row r="121" spans="1:24" ht="15.75" customHeight="1" x14ac:dyDescent="0.3">
      <c r="A121" s="3"/>
      <c r="B121" s="65"/>
      <c r="C121" s="3"/>
      <c r="D121" s="3"/>
      <c r="E121" s="3"/>
      <c r="F121" s="3"/>
      <c r="G121" s="3"/>
      <c r="H121" s="3"/>
      <c r="I121" s="3"/>
      <c r="J121" s="3"/>
      <c r="K121" s="3"/>
      <c r="L121" s="3"/>
      <c r="M121" s="3"/>
      <c r="N121" s="3"/>
      <c r="O121" s="3"/>
      <c r="P121" s="3"/>
      <c r="Q121" s="3"/>
      <c r="R121" s="3"/>
      <c r="S121" s="3"/>
      <c r="T121" s="3"/>
      <c r="U121" s="3"/>
      <c r="V121" s="3"/>
      <c r="W121" s="3"/>
      <c r="X121" s="3"/>
    </row>
    <row r="122" spans="1:24" ht="15.75" customHeight="1" x14ac:dyDescent="0.3">
      <c r="A122" s="3"/>
      <c r="B122" s="65"/>
      <c r="C122" s="3"/>
      <c r="D122" s="3"/>
      <c r="E122" s="3"/>
      <c r="F122" s="3"/>
      <c r="G122" s="3"/>
      <c r="H122" s="3"/>
      <c r="I122" s="3"/>
      <c r="J122" s="3"/>
      <c r="K122" s="3"/>
      <c r="L122" s="3"/>
      <c r="M122" s="3"/>
      <c r="N122" s="3"/>
      <c r="O122" s="3"/>
      <c r="P122" s="3"/>
      <c r="Q122" s="3"/>
      <c r="R122" s="3"/>
      <c r="S122" s="3"/>
      <c r="T122" s="3"/>
      <c r="U122" s="3"/>
      <c r="V122" s="3"/>
      <c r="W122" s="3"/>
      <c r="X122" s="3"/>
    </row>
    <row r="123" spans="1:24" ht="15.75" customHeight="1" x14ac:dyDescent="0.3">
      <c r="A123" s="3"/>
      <c r="B123" s="65"/>
      <c r="C123" s="3"/>
      <c r="D123" s="3"/>
      <c r="E123" s="3"/>
      <c r="F123" s="3"/>
      <c r="G123" s="3"/>
      <c r="H123" s="3"/>
      <c r="I123" s="3"/>
      <c r="J123" s="3"/>
      <c r="K123" s="3"/>
      <c r="L123" s="3"/>
      <c r="M123" s="3"/>
      <c r="N123" s="3"/>
      <c r="O123" s="3"/>
      <c r="P123" s="3"/>
      <c r="Q123" s="3"/>
      <c r="R123" s="3"/>
      <c r="S123" s="3"/>
      <c r="T123" s="3"/>
      <c r="U123" s="3"/>
      <c r="V123" s="3"/>
      <c r="W123" s="3"/>
      <c r="X123" s="3"/>
    </row>
    <row r="124" spans="1:24" ht="15.75" customHeight="1" x14ac:dyDescent="0.3">
      <c r="A124" s="3"/>
      <c r="B124" s="65"/>
      <c r="C124" s="3"/>
      <c r="D124" s="3"/>
      <c r="E124" s="3"/>
      <c r="F124" s="3"/>
      <c r="G124" s="3"/>
      <c r="H124" s="3"/>
      <c r="I124" s="3"/>
      <c r="J124" s="3"/>
      <c r="K124" s="3"/>
      <c r="L124" s="3"/>
      <c r="M124" s="3"/>
      <c r="N124" s="3"/>
      <c r="O124" s="3"/>
      <c r="P124" s="3"/>
      <c r="Q124" s="3"/>
      <c r="R124" s="3"/>
      <c r="S124" s="3"/>
      <c r="T124" s="3"/>
      <c r="U124" s="3"/>
      <c r="V124" s="3"/>
      <c r="W124" s="3"/>
      <c r="X124" s="3"/>
    </row>
    <row r="125" spans="1:24" ht="15.75" customHeight="1" x14ac:dyDescent="0.3">
      <c r="A125" s="3"/>
      <c r="B125" s="65"/>
      <c r="C125" s="3"/>
      <c r="D125" s="3"/>
      <c r="E125" s="3"/>
      <c r="F125" s="3"/>
      <c r="G125" s="3"/>
      <c r="H125" s="3"/>
      <c r="I125" s="3"/>
      <c r="J125" s="3"/>
      <c r="K125" s="3"/>
      <c r="L125" s="3"/>
      <c r="M125" s="3"/>
      <c r="N125" s="3"/>
      <c r="O125" s="3"/>
      <c r="P125" s="3"/>
      <c r="Q125" s="3"/>
      <c r="R125" s="3"/>
      <c r="S125" s="3"/>
      <c r="T125" s="3"/>
      <c r="U125" s="3"/>
      <c r="V125" s="3"/>
      <c r="W125" s="3"/>
      <c r="X125" s="3"/>
    </row>
    <row r="126" spans="1:24" ht="15.75" customHeight="1" x14ac:dyDescent="0.3">
      <c r="A126" s="3"/>
      <c r="B126" s="65"/>
      <c r="C126" s="3"/>
      <c r="D126" s="3"/>
      <c r="E126" s="3"/>
      <c r="F126" s="3"/>
      <c r="G126" s="3"/>
      <c r="H126" s="3"/>
      <c r="I126" s="3"/>
      <c r="J126" s="3"/>
      <c r="K126" s="3"/>
      <c r="L126" s="3"/>
      <c r="M126" s="3"/>
      <c r="N126" s="3"/>
      <c r="O126" s="3"/>
      <c r="P126" s="3"/>
      <c r="Q126" s="3"/>
      <c r="R126" s="3"/>
      <c r="S126" s="3"/>
      <c r="T126" s="3"/>
      <c r="U126" s="3"/>
      <c r="V126" s="3"/>
      <c r="W126" s="3"/>
      <c r="X126" s="3"/>
    </row>
    <row r="127" spans="1:24" ht="15.75" customHeight="1" x14ac:dyDescent="0.3">
      <c r="A127" s="3"/>
      <c r="B127" s="65"/>
      <c r="C127" s="3"/>
      <c r="D127" s="3"/>
      <c r="E127" s="3"/>
      <c r="F127" s="3"/>
      <c r="G127" s="3"/>
      <c r="H127" s="3"/>
      <c r="I127" s="3"/>
      <c r="J127" s="3"/>
      <c r="K127" s="3"/>
      <c r="L127" s="3"/>
      <c r="M127" s="3"/>
      <c r="N127" s="3"/>
      <c r="O127" s="3"/>
      <c r="P127" s="3"/>
      <c r="Q127" s="3"/>
      <c r="R127" s="3"/>
      <c r="S127" s="3"/>
      <c r="T127" s="3"/>
      <c r="U127" s="3"/>
      <c r="V127" s="3"/>
      <c r="W127" s="3"/>
      <c r="X127" s="3"/>
    </row>
    <row r="128" spans="1:24" ht="15.75" customHeight="1" x14ac:dyDescent="0.3">
      <c r="A128" s="3"/>
      <c r="B128" s="65"/>
      <c r="C128" s="3"/>
      <c r="D128" s="3"/>
      <c r="E128" s="3"/>
      <c r="F128" s="3"/>
      <c r="G128" s="3"/>
      <c r="H128" s="3"/>
      <c r="I128" s="3"/>
      <c r="J128" s="3"/>
      <c r="K128" s="3"/>
      <c r="L128" s="3"/>
      <c r="M128" s="3"/>
      <c r="N128" s="3"/>
      <c r="O128" s="3"/>
      <c r="P128" s="3"/>
      <c r="Q128" s="3"/>
      <c r="R128" s="3"/>
      <c r="S128" s="3"/>
      <c r="T128" s="3"/>
      <c r="U128" s="3"/>
      <c r="V128" s="3"/>
      <c r="W128" s="3"/>
      <c r="X128" s="3"/>
    </row>
    <row r="129" spans="1:24" ht="15.75" customHeight="1" x14ac:dyDescent="0.3">
      <c r="A129" s="3"/>
      <c r="B129" s="65"/>
      <c r="C129" s="3"/>
      <c r="D129" s="3"/>
      <c r="E129" s="3"/>
      <c r="F129" s="3"/>
      <c r="G129" s="3"/>
      <c r="H129" s="3"/>
      <c r="I129" s="3"/>
      <c r="J129" s="3"/>
      <c r="K129" s="3"/>
      <c r="L129" s="3"/>
      <c r="M129" s="3"/>
      <c r="N129" s="3"/>
      <c r="O129" s="3"/>
      <c r="P129" s="3"/>
      <c r="Q129" s="3"/>
      <c r="R129" s="3"/>
      <c r="S129" s="3"/>
      <c r="T129" s="3"/>
      <c r="U129" s="3"/>
      <c r="V129" s="3"/>
      <c r="W129" s="3"/>
      <c r="X129" s="3"/>
    </row>
    <row r="130" spans="1:24" ht="15.75" customHeight="1" x14ac:dyDescent="0.3">
      <c r="A130" s="3"/>
      <c r="B130" s="65"/>
      <c r="C130" s="3"/>
      <c r="D130" s="3"/>
      <c r="E130" s="3"/>
      <c r="F130" s="3"/>
      <c r="G130" s="3"/>
      <c r="H130" s="3"/>
      <c r="I130" s="3"/>
      <c r="J130" s="3"/>
      <c r="K130" s="3"/>
      <c r="L130" s="3"/>
      <c r="M130" s="3"/>
      <c r="N130" s="3"/>
      <c r="O130" s="3"/>
      <c r="P130" s="3"/>
      <c r="Q130" s="3"/>
      <c r="R130" s="3"/>
      <c r="S130" s="3"/>
      <c r="T130" s="3"/>
      <c r="U130" s="3"/>
      <c r="V130" s="3"/>
      <c r="W130" s="3"/>
      <c r="X130" s="3"/>
    </row>
    <row r="131" spans="1:24" ht="15.75" customHeight="1" x14ac:dyDescent="0.3">
      <c r="A131" s="3"/>
      <c r="B131" s="65"/>
      <c r="C131" s="3"/>
      <c r="D131" s="3"/>
      <c r="E131" s="3"/>
      <c r="F131" s="3"/>
      <c r="G131" s="3"/>
      <c r="H131" s="3"/>
      <c r="I131" s="3"/>
      <c r="J131" s="3"/>
      <c r="K131" s="3"/>
      <c r="L131" s="3"/>
      <c r="M131" s="3"/>
      <c r="N131" s="3"/>
      <c r="O131" s="3"/>
      <c r="P131" s="3"/>
      <c r="Q131" s="3"/>
      <c r="R131" s="3"/>
      <c r="S131" s="3"/>
      <c r="T131" s="3"/>
      <c r="U131" s="3"/>
      <c r="V131" s="3"/>
      <c r="W131" s="3"/>
      <c r="X131" s="3"/>
    </row>
    <row r="132" spans="1:24" ht="15.75" customHeight="1" x14ac:dyDescent="0.3">
      <c r="A132" s="3"/>
      <c r="B132" s="65"/>
      <c r="C132" s="3"/>
      <c r="D132" s="3"/>
      <c r="E132" s="3"/>
      <c r="F132" s="3"/>
      <c r="G132" s="3"/>
      <c r="H132" s="3"/>
      <c r="I132" s="3"/>
      <c r="J132" s="3"/>
      <c r="K132" s="3"/>
      <c r="L132" s="3"/>
      <c r="M132" s="3"/>
      <c r="N132" s="3"/>
      <c r="O132" s="3"/>
      <c r="P132" s="3"/>
      <c r="Q132" s="3"/>
      <c r="R132" s="3"/>
      <c r="S132" s="3"/>
      <c r="T132" s="3"/>
      <c r="U132" s="3"/>
      <c r="V132" s="3"/>
      <c r="W132" s="3"/>
      <c r="X132" s="3"/>
    </row>
    <row r="133" spans="1:24" ht="15.75" customHeight="1" x14ac:dyDescent="0.3">
      <c r="A133" s="3"/>
      <c r="B133" s="65"/>
      <c r="C133" s="3"/>
      <c r="D133" s="3"/>
      <c r="E133" s="3"/>
      <c r="F133" s="3"/>
      <c r="G133" s="3"/>
      <c r="H133" s="3"/>
      <c r="I133" s="3"/>
      <c r="J133" s="3"/>
      <c r="K133" s="3"/>
      <c r="L133" s="3"/>
      <c r="M133" s="3"/>
      <c r="N133" s="3"/>
      <c r="O133" s="3"/>
      <c r="P133" s="3"/>
      <c r="Q133" s="3"/>
      <c r="R133" s="3"/>
      <c r="S133" s="3"/>
      <c r="T133" s="3"/>
      <c r="U133" s="3"/>
      <c r="V133" s="3"/>
      <c r="W133" s="3"/>
      <c r="X133" s="3"/>
    </row>
    <row r="134" spans="1:24" ht="15.75" customHeight="1" x14ac:dyDescent="0.3">
      <c r="A134" s="3"/>
      <c r="B134" s="65"/>
      <c r="C134" s="3"/>
      <c r="D134" s="3"/>
      <c r="E134" s="3"/>
      <c r="F134" s="3"/>
      <c r="G134" s="3"/>
      <c r="H134" s="3"/>
      <c r="I134" s="3"/>
      <c r="J134" s="3"/>
      <c r="K134" s="3"/>
      <c r="L134" s="3"/>
      <c r="M134" s="3"/>
      <c r="N134" s="3"/>
      <c r="O134" s="3"/>
      <c r="P134" s="3"/>
      <c r="Q134" s="3"/>
      <c r="R134" s="3"/>
      <c r="S134" s="3"/>
      <c r="T134" s="3"/>
      <c r="U134" s="3"/>
      <c r="V134" s="3"/>
      <c r="W134" s="3"/>
      <c r="X134" s="3"/>
    </row>
    <row r="135" spans="1:24" ht="15.75" customHeight="1" x14ac:dyDescent="0.3">
      <c r="A135" s="3"/>
      <c r="B135" s="65"/>
      <c r="C135" s="3"/>
      <c r="D135" s="3"/>
      <c r="E135" s="3"/>
      <c r="F135" s="3"/>
      <c r="G135" s="3"/>
      <c r="H135" s="3"/>
      <c r="I135" s="3"/>
      <c r="J135" s="3"/>
      <c r="K135" s="3"/>
      <c r="L135" s="3"/>
      <c r="M135" s="3"/>
      <c r="N135" s="3"/>
      <c r="O135" s="3"/>
      <c r="P135" s="3"/>
      <c r="Q135" s="3"/>
      <c r="R135" s="3"/>
      <c r="S135" s="3"/>
      <c r="T135" s="3"/>
      <c r="U135" s="3"/>
      <c r="V135" s="3"/>
      <c r="W135" s="3"/>
      <c r="X135" s="3"/>
    </row>
    <row r="136" spans="1:24" ht="15.75" customHeight="1" x14ac:dyDescent="0.3">
      <c r="A136" s="3"/>
      <c r="B136" s="65"/>
      <c r="C136" s="3"/>
      <c r="D136" s="3"/>
      <c r="E136" s="3"/>
      <c r="F136" s="3"/>
      <c r="G136" s="3"/>
      <c r="H136" s="3"/>
      <c r="I136" s="3"/>
      <c r="J136" s="3"/>
      <c r="K136" s="3"/>
      <c r="L136" s="3"/>
      <c r="M136" s="3"/>
      <c r="N136" s="3"/>
      <c r="O136" s="3"/>
      <c r="P136" s="3"/>
      <c r="Q136" s="3"/>
      <c r="R136" s="3"/>
      <c r="S136" s="3"/>
      <c r="T136" s="3"/>
      <c r="U136" s="3"/>
      <c r="V136" s="3"/>
      <c r="W136" s="3"/>
      <c r="X136" s="3"/>
    </row>
    <row r="137" spans="1:24" ht="15.75" customHeight="1" x14ac:dyDescent="0.3">
      <c r="A137" s="3"/>
      <c r="B137" s="65"/>
      <c r="C137" s="3"/>
      <c r="D137" s="3"/>
      <c r="E137" s="3"/>
      <c r="F137" s="3"/>
      <c r="G137" s="3"/>
      <c r="H137" s="3"/>
      <c r="I137" s="3"/>
      <c r="J137" s="3"/>
      <c r="K137" s="3"/>
      <c r="L137" s="3"/>
      <c r="M137" s="3"/>
      <c r="N137" s="3"/>
      <c r="O137" s="3"/>
      <c r="P137" s="3"/>
      <c r="Q137" s="3"/>
      <c r="R137" s="3"/>
      <c r="S137" s="3"/>
      <c r="T137" s="3"/>
      <c r="U137" s="3"/>
      <c r="V137" s="3"/>
      <c r="W137" s="3"/>
      <c r="X137" s="3"/>
    </row>
    <row r="138" spans="1:24" ht="15.75" customHeight="1" x14ac:dyDescent="0.3">
      <c r="A138" s="3"/>
      <c r="B138" s="65"/>
      <c r="C138" s="3"/>
      <c r="D138" s="3"/>
      <c r="E138" s="3"/>
      <c r="F138" s="3"/>
      <c r="G138" s="3"/>
      <c r="H138" s="3"/>
      <c r="I138" s="3"/>
      <c r="J138" s="3"/>
      <c r="K138" s="3"/>
      <c r="L138" s="3"/>
      <c r="M138" s="3"/>
      <c r="N138" s="3"/>
      <c r="O138" s="3"/>
      <c r="P138" s="3"/>
      <c r="Q138" s="3"/>
      <c r="R138" s="3"/>
      <c r="S138" s="3"/>
      <c r="T138" s="3"/>
      <c r="U138" s="3"/>
      <c r="V138" s="3"/>
      <c r="W138" s="3"/>
      <c r="X138" s="3"/>
    </row>
    <row r="139" spans="1:24" ht="15.75" customHeight="1" x14ac:dyDescent="0.3">
      <c r="A139" s="3"/>
      <c r="B139" s="65"/>
      <c r="C139" s="3"/>
      <c r="D139" s="3"/>
      <c r="E139" s="3"/>
      <c r="F139" s="3"/>
      <c r="G139" s="3"/>
      <c r="H139" s="3"/>
      <c r="I139" s="3"/>
      <c r="J139" s="3"/>
      <c r="K139" s="3"/>
      <c r="L139" s="3"/>
      <c r="M139" s="3"/>
      <c r="N139" s="3"/>
      <c r="O139" s="3"/>
      <c r="P139" s="3"/>
      <c r="Q139" s="3"/>
      <c r="R139" s="3"/>
      <c r="S139" s="3"/>
      <c r="T139" s="3"/>
      <c r="U139" s="3"/>
      <c r="V139" s="3"/>
      <c r="W139" s="3"/>
      <c r="X139" s="3"/>
    </row>
    <row r="140" spans="1:24" ht="15.75" customHeight="1" x14ac:dyDescent="0.3">
      <c r="A140" s="3"/>
      <c r="B140" s="65"/>
      <c r="C140" s="3"/>
      <c r="D140" s="3"/>
      <c r="E140" s="3"/>
      <c r="F140" s="3"/>
      <c r="G140" s="3"/>
      <c r="H140" s="3"/>
      <c r="I140" s="3"/>
      <c r="J140" s="3"/>
      <c r="K140" s="3"/>
      <c r="L140" s="3"/>
      <c r="M140" s="3"/>
      <c r="N140" s="3"/>
      <c r="O140" s="3"/>
      <c r="P140" s="3"/>
      <c r="Q140" s="3"/>
      <c r="R140" s="3"/>
      <c r="S140" s="3"/>
      <c r="T140" s="3"/>
      <c r="U140" s="3"/>
      <c r="V140" s="3"/>
      <c r="W140" s="3"/>
      <c r="X140" s="3"/>
    </row>
    <row r="141" spans="1:24" ht="15.75" customHeight="1" x14ac:dyDescent="0.3">
      <c r="A141" s="3"/>
      <c r="B141" s="65"/>
      <c r="C141" s="3"/>
      <c r="D141" s="3"/>
      <c r="E141" s="3"/>
      <c r="F141" s="3"/>
      <c r="G141" s="3"/>
      <c r="H141" s="3"/>
      <c r="I141" s="3"/>
      <c r="J141" s="3"/>
      <c r="K141" s="3"/>
      <c r="L141" s="3"/>
      <c r="M141" s="3"/>
      <c r="N141" s="3"/>
      <c r="O141" s="3"/>
      <c r="P141" s="3"/>
      <c r="Q141" s="3"/>
      <c r="R141" s="3"/>
      <c r="S141" s="3"/>
      <c r="T141" s="3"/>
      <c r="U141" s="3"/>
      <c r="V141" s="3"/>
      <c r="W141" s="3"/>
      <c r="X141" s="3"/>
    </row>
    <row r="142" spans="1:24" ht="15.75" customHeight="1" x14ac:dyDescent="0.3">
      <c r="A142" s="3"/>
      <c r="B142" s="65"/>
      <c r="C142" s="3"/>
      <c r="D142" s="3"/>
      <c r="E142" s="3"/>
      <c r="F142" s="3"/>
      <c r="G142" s="3"/>
      <c r="H142" s="3"/>
      <c r="I142" s="3"/>
      <c r="J142" s="3"/>
      <c r="K142" s="3"/>
      <c r="L142" s="3"/>
      <c r="M142" s="3"/>
      <c r="N142" s="3"/>
      <c r="O142" s="3"/>
      <c r="P142" s="3"/>
      <c r="Q142" s="3"/>
      <c r="R142" s="3"/>
      <c r="S142" s="3"/>
      <c r="T142" s="3"/>
      <c r="U142" s="3"/>
      <c r="V142" s="3"/>
      <c r="W142" s="3"/>
      <c r="X142" s="3"/>
    </row>
    <row r="143" spans="1:24" ht="15.75" customHeight="1" x14ac:dyDescent="0.3">
      <c r="A143" s="3"/>
      <c r="B143" s="65"/>
      <c r="C143" s="3"/>
      <c r="D143" s="3"/>
      <c r="E143" s="3"/>
      <c r="F143" s="3"/>
      <c r="G143" s="3"/>
      <c r="H143" s="3"/>
      <c r="I143" s="3"/>
      <c r="J143" s="3"/>
      <c r="K143" s="3"/>
      <c r="L143" s="3"/>
      <c r="M143" s="3"/>
      <c r="N143" s="3"/>
      <c r="O143" s="3"/>
      <c r="P143" s="3"/>
      <c r="Q143" s="3"/>
      <c r="R143" s="3"/>
      <c r="S143" s="3"/>
      <c r="T143" s="3"/>
      <c r="U143" s="3"/>
      <c r="V143" s="3"/>
      <c r="W143" s="3"/>
      <c r="X143" s="3"/>
    </row>
    <row r="144" spans="1:24" ht="15.75" customHeight="1" x14ac:dyDescent="0.3">
      <c r="A144" s="3"/>
      <c r="B144" s="65"/>
      <c r="C144" s="3"/>
      <c r="D144" s="3"/>
      <c r="E144" s="3"/>
      <c r="F144" s="3"/>
      <c r="G144" s="3"/>
      <c r="H144" s="3"/>
      <c r="I144" s="3"/>
      <c r="J144" s="3"/>
      <c r="K144" s="3"/>
      <c r="L144" s="3"/>
      <c r="M144" s="3"/>
      <c r="N144" s="3"/>
      <c r="O144" s="3"/>
      <c r="P144" s="3"/>
      <c r="Q144" s="3"/>
      <c r="R144" s="3"/>
      <c r="S144" s="3"/>
      <c r="T144" s="3"/>
      <c r="U144" s="3"/>
      <c r="V144" s="3"/>
      <c r="W144" s="3"/>
      <c r="X144" s="3"/>
    </row>
    <row r="145" spans="1:24" ht="15.75" customHeight="1" x14ac:dyDescent="0.3">
      <c r="A145" s="3"/>
      <c r="B145" s="65"/>
      <c r="C145" s="3"/>
      <c r="D145" s="3"/>
      <c r="E145" s="3"/>
      <c r="F145" s="3"/>
      <c r="G145" s="3"/>
      <c r="H145" s="3"/>
      <c r="I145" s="3"/>
      <c r="J145" s="3"/>
      <c r="K145" s="3"/>
      <c r="L145" s="3"/>
      <c r="M145" s="3"/>
      <c r="N145" s="3"/>
      <c r="O145" s="3"/>
      <c r="P145" s="3"/>
      <c r="Q145" s="3"/>
      <c r="R145" s="3"/>
      <c r="S145" s="3"/>
      <c r="T145" s="3"/>
      <c r="U145" s="3"/>
      <c r="V145" s="3"/>
      <c r="W145" s="3"/>
      <c r="X145" s="3"/>
    </row>
    <row r="146" spans="1:24" ht="15.75" customHeight="1" x14ac:dyDescent="0.3">
      <c r="A146" s="3"/>
      <c r="B146" s="65"/>
      <c r="C146" s="3"/>
      <c r="D146" s="3"/>
      <c r="E146" s="3"/>
      <c r="F146" s="3"/>
      <c r="G146" s="3"/>
      <c r="H146" s="3"/>
      <c r="I146" s="3"/>
      <c r="J146" s="3"/>
      <c r="K146" s="3"/>
      <c r="L146" s="3"/>
      <c r="M146" s="3"/>
      <c r="N146" s="3"/>
      <c r="O146" s="3"/>
      <c r="P146" s="3"/>
      <c r="Q146" s="3"/>
      <c r="R146" s="3"/>
      <c r="S146" s="3"/>
      <c r="T146" s="3"/>
      <c r="U146" s="3"/>
      <c r="V146" s="3"/>
      <c r="W146" s="3"/>
      <c r="X146" s="3"/>
    </row>
    <row r="147" spans="1:24" ht="15.75" customHeight="1" x14ac:dyDescent="0.3">
      <c r="A147" s="3"/>
      <c r="B147" s="65"/>
      <c r="C147" s="3"/>
      <c r="D147" s="3"/>
      <c r="E147" s="3"/>
      <c r="F147" s="3"/>
      <c r="G147" s="3"/>
      <c r="H147" s="3"/>
      <c r="I147" s="3"/>
      <c r="J147" s="3"/>
      <c r="K147" s="3"/>
      <c r="L147" s="3"/>
      <c r="M147" s="3"/>
      <c r="N147" s="3"/>
      <c r="O147" s="3"/>
      <c r="P147" s="3"/>
      <c r="Q147" s="3"/>
      <c r="R147" s="3"/>
      <c r="S147" s="3"/>
      <c r="T147" s="3"/>
      <c r="U147" s="3"/>
      <c r="V147" s="3"/>
      <c r="W147" s="3"/>
      <c r="X147" s="3"/>
    </row>
    <row r="148" spans="1:24" ht="15.75" customHeight="1" x14ac:dyDescent="0.3">
      <c r="A148" s="3"/>
      <c r="B148" s="65"/>
      <c r="C148" s="3"/>
      <c r="D148" s="3"/>
      <c r="E148" s="3"/>
      <c r="F148" s="3"/>
      <c r="G148" s="3"/>
      <c r="H148" s="3"/>
      <c r="I148" s="3"/>
      <c r="J148" s="3"/>
      <c r="K148" s="3"/>
      <c r="L148" s="3"/>
      <c r="M148" s="3"/>
      <c r="N148" s="3"/>
      <c r="O148" s="3"/>
      <c r="P148" s="3"/>
      <c r="Q148" s="3"/>
      <c r="R148" s="3"/>
      <c r="S148" s="3"/>
      <c r="T148" s="3"/>
      <c r="U148" s="3"/>
      <c r="V148" s="3"/>
      <c r="W148" s="3"/>
      <c r="X148" s="3"/>
    </row>
    <row r="149" spans="1:24" ht="15.75" customHeight="1" x14ac:dyDescent="0.3">
      <c r="A149" s="3"/>
      <c r="B149" s="65"/>
      <c r="C149" s="3"/>
      <c r="D149" s="3"/>
      <c r="E149" s="3"/>
      <c r="F149" s="3"/>
      <c r="G149" s="3"/>
      <c r="H149" s="3"/>
      <c r="I149" s="3"/>
      <c r="J149" s="3"/>
      <c r="K149" s="3"/>
      <c r="L149" s="3"/>
      <c r="M149" s="3"/>
      <c r="N149" s="3"/>
      <c r="O149" s="3"/>
      <c r="P149" s="3"/>
      <c r="Q149" s="3"/>
      <c r="R149" s="3"/>
      <c r="S149" s="3"/>
      <c r="T149" s="3"/>
      <c r="U149" s="3"/>
      <c r="V149" s="3"/>
      <c r="W149" s="3"/>
      <c r="X149" s="3"/>
    </row>
    <row r="150" spans="1:24" ht="15.75" customHeight="1" x14ac:dyDescent="0.3">
      <c r="A150" s="3"/>
      <c r="B150" s="65"/>
      <c r="C150" s="3"/>
      <c r="D150" s="3"/>
      <c r="E150" s="3"/>
      <c r="F150" s="3"/>
      <c r="G150" s="3"/>
      <c r="H150" s="3"/>
      <c r="I150" s="3"/>
      <c r="J150" s="3"/>
      <c r="K150" s="3"/>
      <c r="L150" s="3"/>
      <c r="M150" s="3"/>
      <c r="N150" s="3"/>
      <c r="O150" s="3"/>
      <c r="P150" s="3"/>
      <c r="Q150" s="3"/>
      <c r="R150" s="3"/>
      <c r="S150" s="3"/>
      <c r="T150" s="3"/>
      <c r="U150" s="3"/>
      <c r="V150" s="3"/>
      <c r="W150" s="3"/>
      <c r="X150" s="3"/>
    </row>
    <row r="151" spans="1:24" ht="15.75" customHeight="1" x14ac:dyDescent="0.3">
      <c r="A151" s="3"/>
      <c r="B151" s="65"/>
      <c r="C151" s="3"/>
      <c r="D151" s="3"/>
      <c r="E151" s="3"/>
      <c r="F151" s="3"/>
      <c r="G151" s="3"/>
      <c r="H151" s="3"/>
      <c r="I151" s="3"/>
      <c r="J151" s="3"/>
      <c r="K151" s="3"/>
      <c r="L151" s="3"/>
      <c r="M151" s="3"/>
      <c r="N151" s="3"/>
      <c r="O151" s="3"/>
      <c r="P151" s="3"/>
      <c r="Q151" s="3"/>
      <c r="R151" s="3"/>
      <c r="S151" s="3"/>
      <c r="T151" s="3"/>
      <c r="U151" s="3"/>
      <c r="V151" s="3"/>
      <c r="W151" s="3"/>
      <c r="X151" s="3"/>
    </row>
    <row r="152" spans="1:24" ht="15.75" customHeight="1" x14ac:dyDescent="0.3">
      <c r="A152" s="3"/>
      <c r="B152" s="65"/>
      <c r="C152" s="3"/>
      <c r="D152" s="3"/>
      <c r="E152" s="3"/>
      <c r="F152" s="3"/>
      <c r="G152" s="3"/>
      <c r="H152" s="3"/>
      <c r="I152" s="3"/>
      <c r="J152" s="3"/>
      <c r="K152" s="3"/>
      <c r="L152" s="3"/>
      <c r="M152" s="3"/>
      <c r="N152" s="3"/>
      <c r="O152" s="3"/>
      <c r="P152" s="3"/>
      <c r="Q152" s="3"/>
      <c r="R152" s="3"/>
      <c r="S152" s="3"/>
      <c r="T152" s="3"/>
      <c r="U152" s="3"/>
      <c r="V152" s="3"/>
      <c r="W152" s="3"/>
      <c r="X152" s="3"/>
    </row>
    <row r="153" spans="1:24" ht="15.75" customHeight="1" x14ac:dyDescent="0.3">
      <c r="A153" s="3"/>
      <c r="B153" s="65"/>
      <c r="C153" s="3"/>
      <c r="D153" s="3"/>
      <c r="E153" s="3"/>
      <c r="F153" s="3"/>
      <c r="G153" s="3"/>
      <c r="H153" s="3"/>
      <c r="I153" s="3"/>
      <c r="J153" s="3"/>
      <c r="K153" s="3"/>
      <c r="L153" s="3"/>
      <c r="M153" s="3"/>
      <c r="N153" s="3"/>
      <c r="O153" s="3"/>
      <c r="P153" s="3"/>
      <c r="Q153" s="3"/>
      <c r="R153" s="3"/>
      <c r="S153" s="3"/>
      <c r="T153" s="3"/>
      <c r="U153" s="3"/>
      <c r="V153" s="3"/>
      <c r="W153" s="3"/>
      <c r="X153" s="3"/>
    </row>
    <row r="154" spans="1:24" ht="15.75" customHeight="1" x14ac:dyDescent="0.3">
      <c r="A154" s="3"/>
      <c r="B154" s="65"/>
      <c r="C154" s="3"/>
      <c r="D154" s="3"/>
      <c r="E154" s="3"/>
      <c r="F154" s="3"/>
      <c r="G154" s="3"/>
      <c r="H154" s="3"/>
      <c r="I154" s="3"/>
      <c r="J154" s="3"/>
      <c r="K154" s="3"/>
      <c r="L154" s="3"/>
      <c r="M154" s="3"/>
      <c r="N154" s="3"/>
      <c r="O154" s="3"/>
      <c r="P154" s="3"/>
      <c r="Q154" s="3"/>
      <c r="R154" s="3"/>
      <c r="S154" s="3"/>
      <c r="T154" s="3"/>
      <c r="U154" s="3"/>
      <c r="V154" s="3"/>
      <c r="W154" s="3"/>
      <c r="X154" s="3"/>
    </row>
    <row r="155" spans="1:24" ht="15.75" customHeight="1" x14ac:dyDescent="0.3">
      <c r="A155" s="3"/>
      <c r="B155" s="65"/>
      <c r="C155" s="3"/>
      <c r="D155" s="3"/>
      <c r="E155" s="3"/>
      <c r="F155" s="3"/>
      <c r="G155" s="3"/>
      <c r="H155" s="3"/>
      <c r="I155" s="3"/>
      <c r="J155" s="3"/>
      <c r="K155" s="3"/>
      <c r="L155" s="3"/>
      <c r="M155" s="3"/>
      <c r="N155" s="3"/>
      <c r="O155" s="3"/>
      <c r="P155" s="3"/>
      <c r="Q155" s="3"/>
      <c r="R155" s="3"/>
      <c r="S155" s="3"/>
      <c r="T155" s="3"/>
      <c r="U155" s="3"/>
      <c r="V155" s="3"/>
      <c r="W155" s="3"/>
      <c r="X155" s="3"/>
    </row>
    <row r="156" spans="1:24" ht="15.75" customHeight="1" x14ac:dyDescent="0.3">
      <c r="A156" s="3"/>
      <c r="B156" s="65"/>
      <c r="C156" s="3"/>
      <c r="D156" s="3"/>
      <c r="E156" s="3"/>
      <c r="F156" s="3"/>
      <c r="G156" s="3"/>
      <c r="H156" s="3"/>
      <c r="I156" s="3"/>
      <c r="J156" s="3"/>
      <c r="K156" s="3"/>
      <c r="L156" s="3"/>
      <c r="M156" s="3"/>
      <c r="N156" s="3"/>
      <c r="O156" s="3"/>
      <c r="P156" s="3"/>
      <c r="Q156" s="3"/>
      <c r="R156" s="3"/>
      <c r="S156" s="3"/>
      <c r="T156" s="3"/>
      <c r="U156" s="3"/>
      <c r="V156" s="3"/>
      <c r="W156" s="3"/>
      <c r="X156" s="3"/>
    </row>
    <row r="157" spans="1:24" ht="15.75" customHeight="1" x14ac:dyDescent="0.3">
      <c r="A157" s="3"/>
      <c r="B157" s="65"/>
      <c r="C157" s="3"/>
      <c r="D157" s="3"/>
      <c r="E157" s="3"/>
      <c r="F157" s="3"/>
      <c r="G157" s="3"/>
      <c r="H157" s="3"/>
      <c r="I157" s="3"/>
      <c r="J157" s="3"/>
      <c r="K157" s="3"/>
      <c r="L157" s="3"/>
      <c r="M157" s="3"/>
      <c r="N157" s="3"/>
      <c r="O157" s="3"/>
      <c r="P157" s="3"/>
      <c r="Q157" s="3"/>
      <c r="R157" s="3"/>
      <c r="S157" s="3"/>
      <c r="T157" s="3"/>
      <c r="U157" s="3"/>
      <c r="V157" s="3"/>
      <c r="W157" s="3"/>
      <c r="X157" s="3"/>
    </row>
    <row r="158" spans="1:24" ht="15.75" customHeight="1" x14ac:dyDescent="0.3">
      <c r="A158" s="3"/>
      <c r="B158" s="65"/>
      <c r="C158" s="3"/>
      <c r="D158" s="3"/>
      <c r="E158" s="3"/>
      <c r="F158" s="3"/>
      <c r="G158" s="3"/>
      <c r="H158" s="3"/>
      <c r="I158" s="3"/>
      <c r="J158" s="3"/>
      <c r="K158" s="3"/>
      <c r="L158" s="3"/>
      <c r="M158" s="3"/>
      <c r="N158" s="3"/>
      <c r="O158" s="3"/>
      <c r="P158" s="3"/>
      <c r="Q158" s="3"/>
      <c r="R158" s="3"/>
      <c r="S158" s="3"/>
      <c r="T158" s="3"/>
      <c r="U158" s="3"/>
      <c r="V158" s="3"/>
      <c r="W158" s="3"/>
      <c r="X158" s="3"/>
    </row>
    <row r="159" spans="1:24" ht="15.75" customHeight="1" x14ac:dyDescent="0.3">
      <c r="A159" s="3"/>
      <c r="B159" s="65"/>
      <c r="C159" s="3"/>
      <c r="D159" s="3"/>
      <c r="E159" s="3"/>
      <c r="F159" s="3"/>
      <c r="G159" s="3"/>
      <c r="H159" s="3"/>
      <c r="I159" s="3"/>
      <c r="J159" s="3"/>
      <c r="K159" s="3"/>
      <c r="L159" s="3"/>
      <c r="M159" s="3"/>
      <c r="N159" s="3"/>
      <c r="O159" s="3"/>
      <c r="P159" s="3"/>
      <c r="Q159" s="3"/>
      <c r="R159" s="3"/>
      <c r="S159" s="3"/>
      <c r="T159" s="3"/>
      <c r="U159" s="3"/>
      <c r="V159" s="3"/>
      <c r="W159" s="3"/>
      <c r="X159" s="3"/>
    </row>
    <row r="160" spans="1:24" ht="15.75" customHeight="1" x14ac:dyDescent="0.3">
      <c r="A160" s="3"/>
      <c r="B160" s="65"/>
      <c r="C160" s="3"/>
      <c r="D160" s="3"/>
      <c r="E160" s="3"/>
      <c r="F160" s="3"/>
      <c r="G160" s="3"/>
      <c r="H160" s="3"/>
      <c r="I160" s="3"/>
      <c r="J160" s="3"/>
      <c r="K160" s="3"/>
      <c r="L160" s="3"/>
      <c r="M160" s="3"/>
      <c r="N160" s="3"/>
      <c r="O160" s="3"/>
      <c r="P160" s="3"/>
      <c r="Q160" s="3"/>
      <c r="R160" s="3"/>
      <c r="S160" s="3"/>
      <c r="T160" s="3"/>
      <c r="U160" s="3"/>
      <c r="V160" s="3"/>
      <c r="W160" s="3"/>
      <c r="X160" s="3"/>
    </row>
    <row r="161" spans="1:24" ht="15.75" customHeight="1" x14ac:dyDescent="0.3">
      <c r="A161" s="3"/>
      <c r="B161" s="65"/>
      <c r="C161" s="3"/>
      <c r="D161" s="3"/>
      <c r="E161" s="3"/>
      <c r="F161" s="3"/>
      <c r="G161" s="3"/>
      <c r="H161" s="3"/>
      <c r="I161" s="3"/>
      <c r="J161" s="3"/>
      <c r="K161" s="3"/>
      <c r="L161" s="3"/>
      <c r="M161" s="3"/>
      <c r="N161" s="3"/>
      <c r="O161" s="3"/>
      <c r="P161" s="3"/>
      <c r="Q161" s="3"/>
      <c r="R161" s="3"/>
      <c r="S161" s="3"/>
      <c r="T161" s="3"/>
      <c r="U161" s="3"/>
      <c r="V161" s="3"/>
      <c r="W161" s="3"/>
      <c r="X161" s="3"/>
    </row>
    <row r="162" spans="1:24" ht="15.75" customHeight="1" x14ac:dyDescent="0.3">
      <c r="A162" s="3"/>
      <c r="B162" s="65"/>
      <c r="C162" s="3"/>
      <c r="D162" s="3"/>
      <c r="E162" s="3"/>
      <c r="F162" s="3"/>
      <c r="G162" s="3"/>
      <c r="H162" s="3"/>
      <c r="I162" s="3"/>
      <c r="J162" s="3"/>
      <c r="K162" s="3"/>
      <c r="L162" s="3"/>
      <c r="M162" s="3"/>
      <c r="N162" s="3"/>
      <c r="O162" s="3"/>
      <c r="P162" s="3"/>
      <c r="Q162" s="3"/>
      <c r="R162" s="3"/>
      <c r="S162" s="3"/>
      <c r="T162" s="3"/>
      <c r="U162" s="3"/>
      <c r="V162" s="3"/>
      <c r="W162" s="3"/>
      <c r="X162" s="3"/>
    </row>
    <row r="163" spans="1:24" ht="15.75" customHeight="1" x14ac:dyDescent="0.3">
      <c r="A163" s="3"/>
      <c r="B163" s="65"/>
      <c r="C163" s="3"/>
      <c r="D163" s="3"/>
      <c r="E163" s="3"/>
      <c r="F163" s="3"/>
      <c r="G163" s="3"/>
      <c r="H163" s="3"/>
      <c r="I163" s="3"/>
      <c r="J163" s="3"/>
      <c r="K163" s="3"/>
      <c r="L163" s="3"/>
      <c r="M163" s="3"/>
      <c r="N163" s="3"/>
      <c r="O163" s="3"/>
      <c r="P163" s="3"/>
      <c r="Q163" s="3"/>
      <c r="R163" s="3"/>
      <c r="S163" s="3"/>
      <c r="T163" s="3"/>
      <c r="U163" s="3"/>
      <c r="V163" s="3"/>
      <c r="W163" s="3"/>
      <c r="X163" s="3"/>
    </row>
    <row r="164" spans="1:24" ht="15.75" customHeight="1" x14ac:dyDescent="0.3">
      <c r="A164" s="3"/>
      <c r="B164" s="65"/>
      <c r="C164" s="3"/>
      <c r="D164" s="3"/>
      <c r="E164" s="3"/>
      <c r="F164" s="3"/>
      <c r="G164" s="3"/>
      <c r="H164" s="3"/>
      <c r="I164" s="3"/>
      <c r="J164" s="3"/>
      <c r="K164" s="3"/>
      <c r="L164" s="3"/>
      <c r="M164" s="3"/>
      <c r="N164" s="3"/>
      <c r="O164" s="3"/>
      <c r="P164" s="3"/>
      <c r="Q164" s="3"/>
      <c r="R164" s="3"/>
      <c r="S164" s="3"/>
      <c r="T164" s="3"/>
      <c r="U164" s="3"/>
      <c r="V164" s="3"/>
      <c r="W164" s="3"/>
      <c r="X164" s="3"/>
    </row>
    <row r="165" spans="1:24" ht="15.75" customHeight="1" x14ac:dyDescent="0.3">
      <c r="A165" s="3"/>
      <c r="B165" s="65"/>
      <c r="C165" s="3"/>
      <c r="D165" s="3"/>
      <c r="E165" s="3"/>
      <c r="F165" s="3"/>
      <c r="G165" s="3"/>
      <c r="H165" s="3"/>
      <c r="I165" s="3"/>
      <c r="J165" s="3"/>
      <c r="K165" s="3"/>
      <c r="L165" s="3"/>
      <c r="M165" s="3"/>
      <c r="N165" s="3"/>
      <c r="O165" s="3"/>
      <c r="P165" s="3"/>
      <c r="Q165" s="3"/>
      <c r="R165" s="3"/>
      <c r="S165" s="3"/>
      <c r="T165" s="3"/>
      <c r="U165" s="3"/>
      <c r="V165" s="3"/>
      <c r="W165" s="3"/>
      <c r="X165" s="3"/>
    </row>
    <row r="166" spans="1:24" ht="15.75" customHeight="1" x14ac:dyDescent="0.3">
      <c r="A166" s="3"/>
      <c r="B166" s="65"/>
      <c r="C166" s="3"/>
      <c r="D166" s="3"/>
      <c r="E166" s="3"/>
      <c r="F166" s="3"/>
      <c r="G166" s="3"/>
      <c r="H166" s="3"/>
      <c r="I166" s="3"/>
      <c r="J166" s="3"/>
      <c r="K166" s="3"/>
      <c r="L166" s="3"/>
      <c r="M166" s="3"/>
      <c r="N166" s="3"/>
      <c r="O166" s="3"/>
      <c r="P166" s="3"/>
      <c r="Q166" s="3"/>
      <c r="R166" s="3"/>
      <c r="S166" s="3"/>
      <c r="T166" s="3"/>
      <c r="U166" s="3"/>
      <c r="V166" s="3"/>
      <c r="W166" s="3"/>
      <c r="X166" s="3"/>
    </row>
    <row r="167" spans="1:24" ht="15.75" customHeight="1" x14ac:dyDescent="0.3">
      <c r="A167" s="3"/>
      <c r="B167" s="65"/>
      <c r="C167" s="3"/>
      <c r="D167" s="3"/>
      <c r="E167" s="3"/>
      <c r="F167" s="3"/>
      <c r="G167" s="3"/>
      <c r="H167" s="3"/>
      <c r="I167" s="3"/>
      <c r="J167" s="3"/>
      <c r="K167" s="3"/>
      <c r="L167" s="3"/>
      <c r="M167" s="3"/>
      <c r="N167" s="3"/>
      <c r="O167" s="3"/>
      <c r="P167" s="3"/>
      <c r="Q167" s="3"/>
      <c r="R167" s="3"/>
      <c r="S167" s="3"/>
      <c r="T167" s="3"/>
      <c r="U167" s="3"/>
      <c r="V167" s="3"/>
      <c r="W167" s="3"/>
      <c r="X167" s="3"/>
    </row>
    <row r="168" spans="1:24" ht="15.75" customHeight="1" x14ac:dyDescent="0.3">
      <c r="A168" s="3"/>
      <c r="B168" s="65"/>
      <c r="C168" s="3"/>
      <c r="D168" s="3"/>
      <c r="E168" s="3"/>
      <c r="F168" s="3"/>
      <c r="G168" s="3"/>
      <c r="H168" s="3"/>
      <c r="I168" s="3"/>
      <c r="J168" s="3"/>
      <c r="K168" s="3"/>
      <c r="L168" s="3"/>
      <c r="M168" s="3"/>
      <c r="N168" s="3"/>
      <c r="O168" s="3"/>
      <c r="P168" s="3"/>
      <c r="Q168" s="3"/>
      <c r="R168" s="3"/>
      <c r="S168" s="3"/>
      <c r="T168" s="3"/>
      <c r="U168" s="3"/>
      <c r="V168" s="3"/>
      <c r="W168" s="3"/>
      <c r="X168" s="3"/>
    </row>
    <row r="169" spans="1:24" ht="15.75" customHeight="1" x14ac:dyDescent="0.3">
      <c r="A169" s="3"/>
      <c r="B169" s="65"/>
      <c r="C169" s="3"/>
      <c r="D169" s="3"/>
      <c r="E169" s="3"/>
      <c r="F169" s="3"/>
      <c r="G169" s="3"/>
      <c r="H169" s="3"/>
      <c r="I169" s="3"/>
      <c r="J169" s="3"/>
      <c r="K169" s="3"/>
      <c r="L169" s="3"/>
      <c r="M169" s="3"/>
      <c r="N169" s="3"/>
      <c r="O169" s="3"/>
      <c r="P169" s="3"/>
      <c r="Q169" s="3"/>
      <c r="R169" s="3"/>
      <c r="S169" s="3"/>
      <c r="T169" s="3"/>
      <c r="U169" s="3"/>
      <c r="V169" s="3"/>
      <c r="W169" s="3"/>
      <c r="X169" s="3"/>
    </row>
    <row r="170" spans="1:24" ht="15.75" customHeight="1" x14ac:dyDescent="0.3">
      <c r="A170" s="3"/>
      <c r="B170" s="65"/>
      <c r="C170" s="3"/>
      <c r="D170" s="3"/>
      <c r="E170" s="3"/>
      <c r="F170" s="3"/>
      <c r="G170" s="3"/>
      <c r="H170" s="3"/>
      <c r="I170" s="3"/>
      <c r="J170" s="3"/>
      <c r="K170" s="3"/>
      <c r="L170" s="3"/>
      <c r="M170" s="3"/>
      <c r="N170" s="3"/>
      <c r="O170" s="3"/>
      <c r="P170" s="3"/>
      <c r="Q170" s="3"/>
      <c r="R170" s="3"/>
      <c r="S170" s="3"/>
      <c r="T170" s="3"/>
      <c r="U170" s="3"/>
      <c r="V170" s="3"/>
      <c r="W170" s="3"/>
      <c r="X170" s="3"/>
    </row>
    <row r="171" spans="1:24" ht="15.75" customHeight="1" x14ac:dyDescent="0.3">
      <c r="A171" s="3"/>
      <c r="B171" s="65"/>
      <c r="C171" s="3"/>
      <c r="D171" s="3"/>
      <c r="E171" s="3"/>
      <c r="F171" s="3"/>
      <c r="G171" s="3"/>
      <c r="H171" s="3"/>
      <c r="I171" s="3"/>
      <c r="J171" s="3"/>
      <c r="K171" s="3"/>
      <c r="L171" s="3"/>
      <c r="M171" s="3"/>
      <c r="N171" s="3"/>
      <c r="O171" s="3"/>
      <c r="P171" s="3"/>
      <c r="Q171" s="3"/>
      <c r="R171" s="3"/>
      <c r="S171" s="3"/>
      <c r="T171" s="3"/>
      <c r="U171" s="3"/>
      <c r="V171" s="3"/>
      <c r="W171" s="3"/>
      <c r="X171" s="3"/>
    </row>
    <row r="172" spans="1:24" ht="15.75" customHeight="1" x14ac:dyDescent="0.3">
      <c r="A172" s="3"/>
      <c r="B172" s="65"/>
      <c r="C172" s="3"/>
      <c r="D172" s="3"/>
      <c r="E172" s="3"/>
      <c r="F172" s="3"/>
      <c r="G172" s="3"/>
      <c r="H172" s="3"/>
      <c r="I172" s="3"/>
      <c r="J172" s="3"/>
      <c r="K172" s="3"/>
      <c r="L172" s="3"/>
      <c r="M172" s="3"/>
      <c r="N172" s="3"/>
      <c r="O172" s="3"/>
      <c r="P172" s="3"/>
      <c r="Q172" s="3"/>
      <c r="R172" s="3"/>
      <c r="S172" s="3"/>
      <c r="T172" s="3"/>
      <c r="U172" s="3"/>
      <c r="V172" s="3"/>
      <c r="W172" s="3"/>
      <c r="X172" s="3"/>
    </row>
    <row r="173" spans="1:24" ht="15.75" customHeight="1" x14ac:dyDescent="0.3">
      <c r="A173" s="3"/>
      <c r="B173" s="65"/>
      <c r="C173" s="3"/>
      <c r="D173" s="3"/>
      <c r="E173" s="3"/>
      <c r="F173" s="3"/>
      <c r="G173" s="3"/>
      <c r="H173" s="3"/>
      <c r="I173" s="3"/>
      <c r="J173" s="3"/>
      <c r="K173" s="3"/>
      <c r="L173" s="3"/>
      <c r="M173" s="3"/>
      <c r="N173" s="3"/>
      <c r="O173" s="3"/>
      <c r="P173" s="3"/>
      <c r="Q173" s="3"/>
      <c r="R173" s="3"/>
      <c r="S173" s="3"/>
      <c r="T173" s="3"/>
      <c r="U173" s="3"/>
      <c r="V173" s="3"/>
      <c r="W173" s="3"/>
      <c r="X173" s="3"/>
    </row>
    <row r="174" spans="1:24" ht="15.75" customHeight="1" x14ac:dyDescent="0.3">
      <c r="A174" s="3"/>
      <c r="B174" s="65"/>
      <c r="C174" s="3"/>
      <c r="D174" s="3"/>
      <c r="E174" s="3"/>
      <c r="F174" s="3"/>
      <c r="G174" s="3"/>
      <c r="H174" s="3"/>
      <c r="I174" s="3"/>
      <c r="J174" s="3"/>
      <c r="K174" s="3"/>
      <c r="L174" s="3"/>
      <c r="M174" s="3"/>
      <c r="N174" s="3"/>
      <c r="O174" s="3"/>
      <c r="P174" s="3"/>
      <c r="Q174" s="3"/>
      <c r="R174" s="3"/>
      <c r="S174" s="3"/>
      <c r="T174" s="3"/>
      <c r="U174" s="3"/>
      <c r="V174" s="3"/>
      <c r="W174" s="3"/>
      <c r="X174" s="3"/>
    </row>
    <row r="175" spans="1:24" ht="15.75" customHeight="1" x14ac:dyDescent="0.3">
      <c r="A175" s="3"/>
      <c r="B175" s="65"/>
      <c r="C175" s="3"/>
      <c r="D175" s="3"/>
      <c r="E175" s="3"/>
      <c r="F175" s="3"/>
      <c r="G175" s="3"/>
      <c r="H175" s="3"/>
      <c r="I175" s="3"/>
      <c r="J175" s="3"/>
      <c r="K175" s="3"/>
      <c r="L175" s="3"/>
      <c r="M175" s="3"/>
      <c r="N175" s="3"/>
      <c r="O175" s="3"/>
      <c r="P175" s="3"/>
      <c r="Q175" s="3"/>
      <c r="R175" s="3"/>
      <c r="S175" s="3"/>
      <c r="T175" s="3"/>
      <c r="U175" s="3"/>
      <c r="V175" s="3"/>
      <c r="W175" s="3"/>
      <c r="X175" s="3"/>
    </row>
    <row r="176" spans="1:24" ht="15.75" customHeight="1" x14ac:dyDescent="0.3">
      <c r="A176" s="3"/>
      <c r="B176" s="65"/>
      <c r="C176" s="3"/>
      <c r="D176" s="3"/>
      <c r="E176" s="3"/>
      <c r="F176" s="3"/>
      <c r="G176" s="3"/>
      <c r="H176" s="3"/>
      <c r="I176" s="3"/>
      <c r="J176" s="3"/>
      <c r="K176" s="3"/>
      <c r="L176" s="3"/>
      <c r="M176" s="3"/>
      <c r="N176" s="3"/>
      <c r="O176" s="3"/>
      <c r="P176" s="3"/>
      <c r="Q176" s="3"/>
      <c r="R176" s="3"/>
      <c r="S176" s="3"/>
      <c r="T176" s="3"/>
      <c r="U176" s="3"/>
      <c r="V176" s="3"/>
      <c r="W176" s="3"/>
      <c r="X176" s="3"/>
    </row>
    <row r="177" spans="1:24" ht="15.75" customHeight="1" x14ac:dyDescent="0.3">
      <c r="A177" s="3"/>
      <c r="B177" s="65"/>
      <c r="C177" s="3"/>
      <c r="D177" s="3"/>
      <c r="E177" s="3"/>
      <c r="F177" s="3"/>
      <c r="G177" s="3"/>
      <c r="H177" s="3"/>
      <c r="I177" s="3"/>
      <c r="J177" s="3"/>
      <c r="K177" s="3"/>
      <c r="L177" s="3"/>
      <c r="M177" s="3"/>
      <c r="N177" s="3"/>
      <c r="O177" s="3"/>
      <c r="P177" s="3"/>
      <c r="Q177" s="3"/>
      <c r="R177" s="3"/>
      <c r="S177" s="3"/>
      <c r="T177" s="3"/>
      <c r="U177" s="3"/>
      <c r="V177" s="3"/>
      <c r="W177" s="3"/>
      <c r="X177" s="3"/>
    </row>
    <row r="178" spans="1:24" ht="15.75" customHeight="1" x14ac:dyDescent="0.3">
      <c r="A178" s="3"/>
      <c r="B178" s="65"/>
      <c r="C178" s="3"/>
      <c r="D178" s="3"/>
      <c r="E178" s="3"/>
      <c r="F178" s="3"/>
      <c r="G178" s="3"/>
      <c r="H178" s="3"/>
      <c r="I178" s="3"/>
      <c r="J178" s="3"/>
      <c r="K178" s="3"/>
      <c r="L178" s="3"/>
      <c r="M178" s="3"/>
      <c r="N178" s="3"/>
      <c r="O178" s="3"/>
      <c r="P178" s="3"/>
      <c r="Q178" s="3"/>
      <c r="R178" s="3"/>
      <c r="S178" s="3"/>
      <c r="T178" s="3"/>
      <c r="U178" s="3"/>
      <c r="V178" s="3"/>
      <c r="W178" s="3"/>
      <c r="X178" s="3"/>
    </row>
    <row r="179" spans="1:24" ht="15.75" customHeight="1" x14ac:dyDescent="0.3">
      <c r="A179" s="3"/>
      <c r="B179" s="65"/>
      <c r="C179" s="3"/>
      <c r="D179" s="3"/>
      <c r="E179" s="3"/>
      <c r="F179" s="3"/>
      <c r="G179" s="3"/>
      <c r="H179" s="3"/>
      <c r="I179" s="3"/>
      <c r="J179" s="3"/>
      <c r="K179" s="3"/>
      <c r="L179" s="3"/>
      <c r="M179" s="3"/>
      <c r="N179" s="3"/>
      <c r="O179" s="3"/>
      <c r="P179" s="3"/>
      <c r="Q179" s="3"/>
      <c r="R179" s="3"/>
      <c r="S179" s="3"/>
      <c r="T179" s="3"/>
      <c r="U179" s="3"/>
      <c r="V179" s="3"/>
      <c r="W179" s="3"/>
      <c r="X179" s="3"/>
    </row>
    <row r="180" spans="1:24" ht="15.75" customHeight="1" x14ac:dyDescent="0.3">
      <c r="A180" s="3"/>
      <c r="B180" s="65"/>
      <c r="C180" s="3"/>
      <c r="D180" s="3"/>
      <c r="E180" s="3"/>
      <c r="F180" s="3"/>
      <c r="G180" s="3"/>
      <c r="H180" s="3"/>
      <c r="I180" s="3"/>
      <c r="J180" s="3"/>
      <c r="K180" s="3"/>
      <c r="L180" s="3"/>
      <c r="M180" s="3"/>
      <c r="N180" s="3"/>
      <c r="O180" s="3"/>
      <c r="P180" s="3"/>
      <c r="Q180" s="3"/>
      <c r="R180" s="3"/>
      <c r="S180" s="3"/>
      <c r="T180" s="3"/>
      <c r="U180" s="3"/>
      <c r="V180" s="3"/>
      <c r="W180" s="3"/>
      <c r="X180" s="3"/>
    </row>
    <row r="181" spans="1:24" ht="15.75" customHeight="1" x14ac:dyDescent="0.3">
      <c r="A181" s="3"/>
      <c r="B181" s="65"/>
      <c r="C181" s="3"/>
      <c r="D181" s="3"/>
      <c r="E181" s="3"/>
      <c r="F181" s="3"/>
      <c r="G181" s="3"/>
      <c r="H181" s="3"/>
      <c r="I181" s="3"/>
      <c r="J181" s="3"/>
      <c r="K181" s="3"/>
      <c r="L181" s="3"/>
      <c r="M181" s="3"/>
      <c r="N181" s="3"/>
      <c r="O181" s="3"/>
      <c r="P181" s="3"/>
      <c r="Q181" s="3"/>
      <c r="R181" s="3"/>
      <c r="S181" s="3"/>
      <c r="T181" s="3"/>
      <c r="U181" s="3"/>
      <c r="V181" s="3"/>
      <c r="W181" s="3"/>
      <c r="X181" s="3"/>
    </row>
    <row r="182" spans="1:24" ht="15.75" customHeight="1" x14ac:dyDescent="0.3">
      <c r="A182" s="3"/>
      <c r="B182" s="65"/>
      <c r="C182" s="3"/>
      <c r="D182" s="3"/>
      <c r="E182" s="3"/>
      <c r="F182" s="3"/>
      <c r="G182" s="3"/>
      <c r="H182" s="3"/>
      <c r="I182" s="3"/>
      <c r="J182" s="3"/>
      <c r="K182" s="3"/>
      <c r="L182" s="3"/>
      <c r="M182" s="3"/>
      <c r="N182" s="3"/>
      <c r="O182" s="3"/>
      <c r="P182" s="3"/>
      <c r="Q182" s="3"/>
      <c r="R182" s="3"/>
      <c r="S182" s="3"/>
      <c r="T182" s="3"/>
      <c r="U182" s="3"/>
      <c r="V182" s="3"/>
      <c r="W182" s="3"/>
      <c r="X182" s="3"/>
    </row>
    <row r="183" spans="1:24" ht="15.75" customHeight="1" x14ac:dyDescent="0.3">
      <c r="A183" s="3"/>
      <c r="B183" s="65"/>
      <c r="C183" s="3"/>
      <c r="D183" s="3"/>
      <c r="E183" s="3"/>
      <c r="F183" s="3"/>
      <c r="G183" s="3"/>
      <c r="H183" s="3"/>
      <c r="I183" s="3"/>
      <c r="J183" s="3"/>
      <c r="K183" s="3"/>
      <c r="L183" s="3"/>
      <c r="M183" s="3"/>
      <c r="N183" s="3"/>
      <c r="O183" s="3"/>
      <c r="P183" s="3"/>
      <c r="Q183" s="3"/>
      <c r="R183" s="3"/>
      <c r="S183" s="3"/>
      <c r="T183" s="3"/>
      <c r="U183" s="3"/>
      <c r="V183" s="3"/>
      <c r="W183" s="3"/>
      <c r="X183" s="3"/>
    </row>
    <row r="184" spans="1:24" ht="15.75" customHeight="1" x14ac:dyDescent="0.3">
      <c r="A184" s="3"/>
      <c r="B184" s="65"/>
      <c r="C184" s="3"/>
      <c r="D184" s="3"/>
      <c r="E184" s="3"/>
      <c r="F184" s="3"/>
      <c r="G184" s="3"/>
      <c r="H184" s="3"/>
      <c r="I184" s="3"/>
      <c r="J184" s="3"/>
      <c r="K184" s="3"/>
      <c r="L184" s="3"/>
      <c r="M184" s="3"/>
      <c r="N184" s="3"/>
      <c r="O184" s="3"/>
      <c r="P184" s="3"/>
      <c r="Q184" s="3"/>
      <c r="R184" s="3"/>
      <c r="S184" s="3"/>
      <c r="T184" s="3"/>
      <c r="U184" s="3"/>
      <c r="V184" s="3"/>
      <c r="W184" s="3"/>
      <c r="X184" s="3"/>
    </row>
    <row r="185" spans="1:24" ht="15.75" customHeight="1" x14ac:dyDescent="0.3">
      <c r="A185" s="3"/>
      <c r="B185" s="65"/>
      <c r="C185" s="3"/>
      <c r="D185" s="3"/>
      <c r="E185" s="3"/>
      <c r="F185" s="3"/>
      <c r="G185" s="3"/>
      <c r="H185" s="3"/>
      <c r="I185" s="3"/>
      <c r="J185" s="3"/>
      <c r="K185" s="3"/>
      <c r="L185" s="3"/>
      <c r="M185" s="3"/>
      <c r="N185" s="3"/>
      <c r="O185" s="3"/>
      <c r="P185" s="3"/>
      <c r="Q185" s="3"/>
      <c r="R185" s="3"/>
      <c r="S185" s="3"/>
      <c r="T185" s="3"/>
      <c r="U185" s="3"/>
      <c r="V185" s="3"/>
      <c r="W185" s="3"/>
      <c r="X185" s="3"/>
    </row>
    <row r="186" spans="1:24" ht="15.75" customHeight="1" x14ac:dyDescent="0.3">
      <c r="A186" s="3"/>
      <c r="B186" s="65"/>
      <c r="C186" s="3"/>
      <c r="D186" s="3"/>
      <c r="E186" s="3"/>
      <c r="F186" s="3"/>
      <c r="G186" s="3"/>
      <c r="H186" s="3"/>
      <c r="I186" s="3"/>
      <c r="J186" s="3"/>
      <c r="K186" s="3"/>
      <c r="L186" s="3"/>
      <c r="M186" s="3"/>
      <c r="N186" s="3"/>
      <c r="O186" s="3"/>
      <c r="P186" s="3"/>
      <c r="Q186" s="3"/>
      <c r="R186" s="3"/>
      <c r="S186" s="3"/>
      <c r="T186" s="3"/>
      <c r="U186" s="3"/>
      <c r="V186" s="3"/>
      <c r="W186" s="3"/>
      <c r="X186" s="3"/>
    </row>
    <row r="187" spans="1:24" ht="15.75" customHeight="1" x14ac:dyDescent="0.3">
      <c r="A187" s="3"/>
      <c r="B187" s="65"/>
      <c r="C187" s="3"/>
      <c r="D187" s="3"/>
      <c r="E187" s="3"/>
      <c r="F187" s="3"/>
      <c r="G187" s="3"/>
      <c r="H187" s="3"/>
      <c r="I187" s="3"/>
      <c r="J187" s="3"/>
      <c r="K187" s="3"/>
      <c r="L187" s="3"/>
      <c r="M187" s="3"/>
      <c r="N187" s="3"/>
      <c r="O187" s="3"/>
      <c r="P187" s="3"/>
      <c r="Q187" s="3"/>
      <c r="R187" s="3"/>
      <c r="S187" s="3"/>
      <c r="T187" s="3"/>
      <c r="U187" s="3"/>
      <c r="V187" s="3"/>
      <c r="W187" s="3"/>
      <c r="X187" s="3"/>
    </row>
    <row r="188" spans="1:24" ht="15.75" customHeight="1" x14ac:dyDescent="0.3">
      <c r="A188" s="3"/>
      <c r="B188" s="65"/>
      <c r="C188" s="3"/>
      <c r="D188" s="3"/>
      <c r="E188" s="3"/>
      <c r="F188" s="3"/>
      <c r="G188" s="3"/>
      <c r="H188" s="3"/>
      <c r="I188" s="3"/>
      <c r="J188" s="3"/>
      <c r="K188" s="3"/>
      <c r="L188" s="3"/>
      <c r="M188" s="3"/>
      <c r="N188" s="3"/>
      <c r="O188" s="3"/>
      <c r="P188" s="3"/>
      <c r="Q188" s="3"/>
      <c r="R188" s="3"/>
      <c r="S188" s="3"/>
      <c r="T188" s="3"/>
      <c r="U188" s="3"/>
      <c r="V188" s="3"/>
      <c r="W188" s="3"/>
      <c r="X188" s="3"/>
    </row>
    <row r="189" spans="1:24" ht="15.75" customHeight="1" x14ac:dyDescent="0.3">
      <c r="A189" s="3"/>
      <c r="B189" s="65"/>
      <c r="C189" s="3"/>
      <c r="D189" s="3"/>
      <c r="E189" s="3"/>
      <c r="F189" s="3"/>
      <c r="G189" s="3"/>
      <c r="H189" s="3"/>
      <c r="I189" s="3"/>
      <c r="J189" s="3"/>
      <c r="K189" s="3"/>
      <c r="L189" s="3"/>
      <c r="M189" s="3"/>
      <c r="N189" s="3"/>
      <c r="O189" s="3"/>
      <c r="P189" s="3"/>
      <c r="Q189" s="3"/>
      <c r="R189" s="3"/>
      <c r="S189" s="3"/>
      <c r="T189" s="3"/>
      <c r="U189" s="3"/>
      <c r="V189" s="3"/>
      <c r="W189" s="3"/>
      <c r="X189" s="3"/>
    </row>
    <row r="190" spans="1:24" ht="15.75" customHeight="1" x14ac:dyDescent="0.3">
      <c r="A190" s="3"/>
      <c r="B190" s="65"/>
      <c r="C190" s="3"/>
      <c r="D190" s="3"/>
      <c r="E190" s="3"/>
      <c r="F190" s="3"/>
      <c r="G190" s="3"/>
      <c r="H190" s="3"/>
      <c r="I190" s="3"/>
      <c r="J190" s="3"/>
      <c r="K190" s="3"/>
      <c r="L190" s="3"/>
      <c r="M190" s="3"/>
      <c r="N190" s="3"/>
      <c r="O190" s="3"/>
      <c r="P190" s="3"/>
      <c r="Q190" s="3"/>
      <c r="R190" s="3"/>
      <c r="S190" s="3"/>
      <c r="T190" s="3"/>
      <c r="U190" s="3"/>
      <c r="V190" s="3"/>
      <c r="W190" s="3"/>
      <c r="X190" s="3"/>
    </row>
    <row r="191" spans="1:24" ht="15.75" customHeight="1" x14ac:dyDescent="0.3">
      <c r="A191" s="3"/>
      <c r="B191" s="65"/>
      <c r="C191" s="3"/>
      <c r="D191" s="3"/>
      <c r="E191" s="3"/>
      <c r="F191" s="3"/>
      <c r="G191" s="3"/>
      <c r="H191" s="3"/>
      <c r="I191" s="3"/>
      <c r="J191" s="3"/>
      <c r="K191" s="3"/>
      <c r="L191" s="3"/>
      <c r="M191" s="3"/>
      <c r="N191" s="3"/>
      <c r="O191" s="3"/>
      <c r="P191" s="3"/>
      <c r="Q191" s="3"/>
      <c r="R191" s="3"/>
      <c r="S191" s="3"/>
      <c r="T191" s="3"/>
      <c r="U191" s="3"/>
      <c r="V191" s="3"/>
      <c r="W191" s="3"/>
      <c r="X191" s="3"/>
    </row>
    <row r="192" spans="1:24" ht="15.75" customHeight="1" x14ac:dyDescent="0.3">
      <c r="A192" s="3"/>
      <c r="B192" s="65"/>
      <c r="C192" s="3"/>
      <c r="D192" s="3"/>
      <c r="E192" s="3"/>
      <c r="F192" s="3"/>
      <c r="G192" s="3"/>
      <c r="H192" s="3"/>
      <c r="I192" s="3"/>
      <c r="J192" s="3"/>
      <c r="K192" s="3"/>
      <c r="L192" s="3"/>
      <c r="M192" s="3"/>
      <c r="N192" s="3"/>
      <c r="O192" s="3"/>
      <c r="P192" s="3"/>
      <c r="Q192" s="3"/>
      <c r="R192" s="3"/>
      <c r="S192" s="3"/>
      <c r="T192" s="3"/>
      <c r="U192" s="3"/>
      <c r="V192" s="3"/>
      <c r="W192" s="3"/>
      <c r="X192" s="3"/>
    </row>
    <row r="193" spans="1:24" ht="15.75" customHeight="1" x14ac:dyDescent="0.3">
      <c r="A193" s="3"/>
      <c r="B193" s="65"/>
      <c r="C193" s="3"/>
      <c r="D193" s="3"/>
      <c r="E193" s="3"/>
      <c r="F193" s="3"/>
      <c r="G193" s="3"/>
      <c r="H193" s="3"/>
      <c r="I193" s="3"/>
      <c r="J193" s="3"/>
      <c r="K193" s="3"/>
      <c r="L193" s="3"/>
      <c r="M193" s="3"/>
      <c r="N193" s="3"/>
      <c r="O193" s="3"/>
      <c r="P193" s="3"/>
      <c r="Q193" s="3"/>
      <c r="R193" s="3"/>
      <c r="S193" s="3"/>
      <c r="T193" s="3"/>
      <c r="U193" s="3"/>
      <c r="V193" s="3"/>
      <c r="W193" s="3"/>
      <c r="X193" s="3"/>
    </row>
    <row r="194" spans="1:24" ht="15.75" customHeight="1" x14ac:dyDescent="0.3">
      <c r="A194" s="3"/>
      <c r="B194" s="65"/>
      <c r="C194" s="3"/>
      <c r="D194" s="3"/>
      <c r="E194" s="3"/>
      <c r="F194" s="3"/>
      <c r="G194" s="3"/>
      <c r="H194" s="3"/>
      <c r="I194" s="3"/>
      <c r="J194" s="3"/>
      <c r="K194" s="3"/>
      <c r="L194" s="3"/>
      <c r="M194" s="3"/>
      <c r="N194" s="3"/>
      <c r="O194" s="3"/>
      <c r="P194" s="3"/>
      <c r="Q194" s="3"/>
      <c r="R194" s="3"/>
      <c r="S194" s="3"/>
      <c r="T194" s="3"/>
      <c r="U194" s="3"/>
      <c r="V194" s="3"/>
      <c r="W194" s="3"/>
      <c r="X194" s="3"/>
    </row>
    <row r="195" spans="1:24" ht="15.75" customHeight="1" x14ac:dyDescent="0.3">
      <c r="A195" s="3"/>
      <c r="B195" s="65"/>
      <c r="C195" s="3"/>
      <c r="D195" s="3"/>
      <c r="E195" s="3"/>
      <c r="F195" s="3"/>
      <c r="G195" s="3"/>
      <c r="H195" s="3"/>
      <c r="I195" s="3"/>
      <c r="J195" s="3"/>
      <c r="K195" s="3"/>
      <c r="L195" s="3"/>
      <c r="M195" s="3"/>
      <c r="N195" s="3"/>
      <c r="O195" s="3"/>
      <c r="P195" s="3"/>
      <c r="Q195" s="3"/>
      <c r="R195" s="3"/>
      <c r="S195" s="3"/>
      <c r="T195" s="3"/>
      <c r="U195" s="3"/>
      <c r="V195" s="3"/>
      <c r="W195" s="3"/>
      <c r="X195" s="3"/>
    </row>
    <row r="196" spans="1:24" ht="15.75" customHeight="1" x14ac:dyDescent="0.3">
      <c r="A196" s="3"/>
      <c r="B196" s="65"/>
      <c r="C196" s="3"/>
      <c r="D196" s="3"/>
      <c r="E196" s="3"/>
      <c r="F196" s="3"/>
      <c r="G196" s="3"/>
      <c r="H196" s="3"/>
      <c r="I196" s="3"/>
      <c r="J196" s="3"/>
      <c r="K196" s="3"/>
      <c r="L196" s="3"/>
      <c r="M196" s="3"/>
      <c r="N196" s="3"/>
      <c r="O196" s="3"/>
      <c r="P196" s="3"/>
      <c r="Q196" s="3"/>
      <c r="R196" s="3"/>
      <c r="S196" s="3"/>
      <c r="T196" s="3"/>
      <c r="U196" s="3"/>
      <c r="V196" s="3"/>
      <c r="W196" s="3"/>
      <c r="X196" s="3"/>
    </row>
    <row r="197" spans="1:24" ht="15.75" customHeight="1" x14ac:dyDescent="0.3">
      <c r="A197" s="3"/>
      <c r="B197" s="65"/>
      <c r="C197" s="3"/>
      <c r="D197" s="3"/>
      <c r="E197" s="3"/>
      <c r="F197" s="3"/>
      <c r="G197" s="3"/>
      <c r="H197" s="3"/>
      <c r="I197" s="3"/>
      <c r="J197" s="3"/>
      <c r="K197" s="3"/>
      <c r="L197" s="3"/>
      <c r="M197" s="3"/>
      <c r="N197" s="3"/>
      <c r="O197" s="3"/>
      <c r="P197" s="3"/>
      <c r="Q197" s="3"/>
      <c r="R197" s="3"/>
      <c r="S197" s="3"/>
      <c r="T197" s="3"/>
      <c r="U197" s="3"/>
      <c r="V197" s="3"/>
      <c r="W197" s="3"/>
      <c r="X197" s="3"/>
    </row>
    <row r="198" spans="1:24" ht="15.75" customHeight="1" x14ac:dyDescent="0.3">
      <c r="A198" s="3"/>
      <c r="B198" s="65"/>
      <c r="C198" s="3"/>
      <c r="D198" s="3"/>
      <c r="E198" s="3"/>
      <c r="F198" s="3"/>
      <c r="G198" s="3"/>
      <c r="H198" s="3"/>
      <c r="I198" s="3"/>
      <c r="J198" s="3"/>
      <c r="K198" s="3"/>
      <c r="L198" s="3"/>
      <c r="M198" s="3"/>
      <c r="N198" s="3"/>
      <c r="O198" s="3"/>
      <c r="P198" s="3"/>
      <c r="Q198" s="3"/>
      <c r="R198" s="3"/>
      <c r="S198" s="3"/>
      <c r="T198" s="3"/>
      <c r="U198" s="3"/>
      <c r="V198" s="3"/>
      <c r="W198" s="3"/>
      <c r="X198" s="3"/>
    </row>
    <row r="199" spans="1:24" ht="15.75" customHeight="1" x14ac:dyDescent="0.3">
      <c r="A199" s="3"/>
      <c r="B199" s="65"/>
      <c r="C199" s="3"/>
      <c r="D199" s="3"/>
      <c r="E199" s="3"/>
      <c r="F199" s="3"/>
      <c r="G199" s="3"/>
      <c r="H199" s="3"/>
      <c r="I199" s="3"/>
      <c r="J199" s="3"/>
      <c r="K199" s="3"/>
      <c r="L199" s="3"/>
      <c r="M199" s="3"/>
      <c r="N199" s="3"/>
      <c r="O199" s="3"/>
      <c r="P199" s="3"/>
      <c r="Q199" s="3"/>
      <c r="R199" s="3"/>
      <c r="S199" s="3"/>
      <c r="T199" s="3"/>
      <c r="U199" s="3"/>
      <c r="V199" s="3"/>
      <c r="W199" s="3"/>
      <c r="X199" s="3"/>
    </row>
    <row r="200" spans="1:24" ht="15.75" customHeight="1" x14ac:dyDescent="0.3">
      <c r="A200" s="3"/>
      <c r="B200" s="65"/>
      <c r="C200" s="3"/>
      <c r="D200" s="3"/>
      <c r="E200" s="3"/>
      <c r="F200" s="3"/>
      <c r="G200" s="3"/>
      <c r="H200" s="3"/>
      <c r="I200" s="3"/>
      <c r="J200" s="3"/>
      <c r="K200" s="3"/>
      <c r="L200" s="3"/>
      <c r="M200" s="3"/>
      <c r="N200" s="3"/>
      <c r="O200" s="3"/>
      <c r="P200" s="3"/>
      <c r="Q200" s="3"/>
      <c r="R200" s="3"/>
      <c r="S200" s="3"/>
      <c r="T200" s="3"/>
      <c r="U200" s="3"/>
      <c r="V200" s="3"/>
      <c r="W200" s="3"/>
      <c r="X200" s="3"/>
    </row>
    <row r="201" spans="1:24" ht="15.75" customHeight="1" x14ac:dyDescent="0.3">
      <c r="A201" s="3"/>
      <c r="B201" s="65"/>
      <c r="C201" s="3"/>
      <c r="D201" s="3"/>
      <c r="E201" s="3"/>
      <c r="F201" s="3"/>
      <c r="G201" s="3"/>
      <c r="H201" s="3"/>
      <c r="I201" s="3"/>
      <c r="J201" s="3"/>
      <c r="K201" s="3"/>
      <c r="L201" s="3"/>
      <c r="M201" s="3"/>
      <c r="N201" s="3"/>
      <c r="O201" s="3"/>
      <c r="P201" s="3"/>
      <c r="Q201" s="3"/>
      <c r="R201" s="3"/>
      <c r="S201" s="3"/>
      <c r="T201" s="3"/>
      <c r="U201" s="3"/>
      <c r="V201" s="3"/>
      <c r="W201" s="3"/>
      <c r="X201" s="3"/>
    </row>
    <row r="202" spans="1:24" ht="15.75" customHeight="1" x14ac:dyDescent="0.3">
      <c r="A202" s="3"/>
      <c r="B202" s="65"/>
      <c r="C202" s="3"/>
      <c r="D202" s="3"/>
      <c r="E202" s="3"/>
      <c r="F202" s="3"/>
      <c r="G202" s="3"/>
      <c r="H202" s="3"/>
      <c r="I202" s="3"/>
      <c r="J202" s="3"/>
      <c r="K202" s="3"/>
      <c r="L202" s="3"/>
      <c r="M202" s="3"/>
      <c r="N202" s="3"/>
      <c r="O202" s="3"/>
      <c r="P202" s="3"/>
      <c r="Q202" s="3"/>
      <c r="R202" s="3"/>
      <c r="S202" s="3"/>
      <c r="T202" s="3"/>
      <c r="U202" s="3"/>
      <c r="V202" s="3"/>
      <c r="W202" s="3"/>
      <c r="X202" s="3"/>
    </row>
    <row r="203" spans="1:24" ht="15.75" customHeight="1" x14ac:dyDescent="0.3">
      <c r="A203" s="3"/>
      <c r="B203" s="65"/>
      <c r="C203" s="3"/>
      <c r="D203" s="3"/>
      <c r="E203" s="3"/>
      <c r="F203" s="3"/>
      <c r="G203" s="3"/>
      <c r="H203" s="3"/>
      <c r="I203" s="3"/>
      <c r="J203" s="3"/>
      <c r="K203" s="3"/>
      <c r="L203" s="3"/>
      <c r="M203" s="3"/>
      <c r="N203" s="3"/>
      <c r="O203" s="3"/>
      <c r="P203" s="3"/>
      <c r="Q203" s="3"/>
      <c r="R203" s="3"/>
      <c r="S203" s="3"/>
      <c r="T203" s="3"/>
      <c r="U203" s="3"/>
      <c r="V203" s="3"/>
      <c r="W203" s="3"/>
      <c r="X203" s="3"/>
    </row>
    <row r="204" spans="1:24" ht="15.75" customHeight="1" x14ac:dyDescent="0.3">
      <c r="A204" s="3"/>
      <c r="B204" s="65"/>
      <c r="C204" s="3"/>
      <c r="D204" s="3"/>
      <c r="E204" s="3"/>
      <c r="F204" s="3"/>
      <c r="G204" s="3"/>
      <c r="H204" s="3"/>
      <c r="I204" s="3"/>
      <c r="J204" s="3"/>
      <c r="K204" s="3"/>
      <c r="L204" s="3"/>
      <c r="M204" s="3"/>
      <c r="N204" s="3"/>
      <c r="O204" s="3"/>
      <c r="P204" s="3"/>
      <c r="Q204" s="3"/>
      <c r="R204" s="3"/>
      <c r="S204" s="3"/>
      <c r="T204" s="3"/>
      <c r="U204" s="3"/>
      <c r="V204" s="3"/>
      <c r="W204" s="3"/>
      <c r="X204" s="3"/>
    </row>
    <row r="205" spans="1:24" ht="15.75" customHeight="1" x14ac:dyDescent="0.3">
      <c r="A205" s="3"/>
      <c r="B205" s="65"/>
      <c r="C205" s="3"/>
      <c r="D205" s="3"/>
      <c r="E205" s="3"/>
      <c r="F205" s="3"/>
      <c r="G205" s="3"/>
      <c r="H205" s="3"/>
      <c r="I205" s="3"/>
      <c r="J205" s="3"/>
      <c r="K205" s="3"/>
      <c r="L205" s="3"/>
      <c r="M205" s="3"/>
      <c r="N205" s="3"/>
      <c r="O205" s="3"/>
      <c r="P205" s="3"/>
      <c r="Q205" s="3"/>
      <c r="R205" s="3"/>
      <c r="S205" s="3"/>
      <c r="T205" s="3"/>
      <c r="U205" s="3"/>
      <c r="V205" s="3"/>
      <c r="W205" s="3"/>
      <c r="X205" s="3"/>
    </row>
    <row r="206" spans="1:24" ht="15.75" customHeight="1" x14ac:dyDescent="0.3">
      <c r="A206" s="3"/>
      <c r="B206" s="65"/>
      <c r="C206" s="3"/>
      <c r="D206" s="3"/>
      <c r="E206" s="3"/>
      <c r="F206" s="3"/>
      <c r="G206" s="3"/>
      <c r="H206" s="3"/>
      <c r="I206" s="3"/>
      <c r="J206" s="3"/>
      <c r="K206" s="3"/>
      <c r="L206" s="3"/>
      <c r="M206" s="3"/>
      <c r="N206" s="3"/>
      <c r="O206" s="3"/>
      <c r="P206" s="3"/>
      <c r="Q206" s="3"/>
      <c r="R206" s="3"/>
      <c r="S206" s="3"/>
      <c r="T206" s="3"/>
      <c r="U206" s="3"/>
      <c r="V206" s="3"/>
      <c r="W206" s="3"/>
      <c r="X206" s="3"/>
    </row>
    <row r="207" spans="1:24" ht="15.75" customHeight="1" x14ac:dyDescent="0.3">
      <c r="A207" s="3"/>
      <c r="B207" s="65"/>
      <c r="C207" s="3"/>
      <c r="D207" s="3"/>
      <c r="E207" s="3"/>
      <c r="F207" s="3"/>
      <c r="G207" s="3"/>
      <c r="H207" s="3"/>
      <c r="I207" s="3"/>
      <c r="J207" s="3"/>
      <c r="K207" s="3"/>
      <c r="L207" s="3"/>
      <c r="M207" s="3"/>
      <c r="N207" s="3"/>
      <c r="O207" s="3"/>
      <c r="P207" s="3"/>
      <c r="Q207" s="3"/>
      <c r="R207" s="3"/>
      <c r="S207" s="3"/>
      <c r="T207" s="3"/>
      <c r="U207" s="3"/>
      <c r="V207" s="3"/>
      <c r="W207" s="3"/>
      <c r="X207" s="3"/>
    </row>
    <row r="208" spans="1:24" ht="15.75" customHeight="1" x14ac:dyDescent="0.3">
      <c r="A208" s="3"/>
      <c r="B208" s="65"/>
      <c r="C208" s="3"/>
      <c r="D208" s="3"/>
      <c r="E208" s="3"/>
      <c r="F208" s="3"/>
      <c r="G208" s="3"/>
      <c r="H208" s="3"/>
      <c r="I208" s="3"/>
      <c r="J208" s="3"/>
      <c r="K208" s="3"/>
      <c r="L208" s="3"/>
      <c r="M208" s="3"/>
      <c r="N208" s="3"/>
      <c r="O208" s="3"/>
      <c r="P208" s="3"/>
      <c r="Q208" s="3"/>
      <c r="R208" s="3"/>
      <c r="S208" s="3"/>
      <c r="T208" s="3"/>
      <c r="U208" s="3"/>
      <c r="V208" s="3"/>
      <c r="W208" s="3"/>
      <c r="X208" s="3"/>
    </row>
    <row r="209" spans="1:24" ht="15.75" customHeight="1" x14ac:dyDescent="0.3">
      <c r="A209" s="3"/>
      <c r="B209" s="65"/>
      <c r="C209" s="3"/>
      <c r="D209" s="3"/>
      <c r="E209" s="3"/>
      <c r="F209" s="3"/>
      <c r="G209" s="3"/>
      <c r="H209" s="3"/>
      <c r="I209" s="3"/>
      <c r="J209" s="3"/>
      <c r="K209" s="3"/>
      <c r="L209" s="3"/>
      <c r="M209" s="3"/>
      <c r="N209" s="3"/>
      <c r="O209" s="3"/>
      <c r="P209" s="3"/>
      <c r="Q209" s="3"/>
      <c r="R209" s="3"/>
      <c r="S209" s="3"/>
      <c r="T209" s="3"/>
      <c r="U209" s="3"/>
      <c r="V209" s="3"/>
      <c r="W209" s="3"/>
      <c r="X209" s="3"/>
    </row>
    <row r="210" spans="1:24" ht="15.75" customHeight="1" x14ac:dyDescent="0.3">
      <c r="A210" s="3"/>
      <c r="B210" s="65"/>
      <c r="C210" s="3"/>
      <c r="D210" s="3"/>
      <c r="E210" s="3"/>
      <c r="F210" s="3"/>
      <c r="G210" s="3"/>
      <c r="H210" s="3"/>
      <c r="I210" s="3"/>
      <c r="J210" s="3"/>
      <c r="K210" s="3"/>
      <c r="L210" s="3"/>
      <c r="M210" s="3"/>
      <c r="N210" s="3"/>
      <c r="O210" s="3"/>
      <c r="P210" s="3"/>
      <c r="Q210" s="3"/>
      <c r="R210" s="3"/>
      <c r="S210" s="3"/>
      <c r="T210" s="3"/>
      <c r="U210" s="3"/>
      <c r="V210" s="3"/>
      <c r="W210" s="3"/>
      <c r="X210" s="3"/>
    </row>
    <row r="211" spans="1:24" ht="15.75" customHeight="1" x14ac:dyDescent="0.3">
      <c r="A211" s="3"/>
      <c r="B211" s="65"/>
      <c r="C211" s="3"/>
      <c r="D211" s="3"/>
      <c r="E211" s="3"/>
      <c r="F211" s="3"/>
      <c r="G211" s="3"/>
      <c r="H211" s="3"/>
      <c r="I211" s="3"/>
      <c r="J211" s="3"/>
      <c r="K211" s="3"/>
      <c r="L211" s="3"/>
      <c r="M211" s="3"/>
      <c r="N211" s="3"/>
      <c r="O211" s="3"/>
      <c r="P211" s="3"/>
      <c r="Q211" s="3"/>
      <c r="R211" s="3"/>
      <c r="S211" s="3"/>
      <c r="T211" s="3"/>
      <c r="U211" s="3"/>
      <c r="V211" s="3"/>
      <c r="W211" s="3"/>
      <c r="X211" s="3"/>
    </row>
    <row r="212" spans="1:24" ht="15.75" customHeight="1" x14ac:dyDescent="0.3">
      <c r="A212" s="3"/>
      <c r="B212" s="65"/>
      <c r="C212" s="3"/>
      <c r="D212" s="3"/>
      <c r="E212" s="3"/>
      <c r="F212" s="3"/>
      <c r="G212" s="3"/>
      <c r="H212" s="3"/>
      <c r="I212" s="3"/>
      <c r="J212" s="3"/>
      <c r="K212" s="3"/>
      <c r="L212" s="3"/>
      <c r="M212" s="3"/>
      <c r="N212" s="3"/>
      <c r="O212" s="3"/>
      <c r="P212" s="3"/>
      <c r="Q212" s="3"/>
      <c r="R212" s="3"/>
      <c r="S212" s="3"/>
      <c r="T212" s="3"/>
      <c r="U212" s="3"/>
      <c r="V212" s="3"/>
      <c r="W212" s="3"/>
      <c r="X212" s="3"/>
    </row>
    <row r="213" spans="1:24" ht="15.75" customHeight="1" x14ac:dyDescent="0.3">
      <c r="A213" s="3"/>
      <c r="B213" s="65"/>
      <c r="C213" s="3"/>
      <c r="D213" s="3"/>
      <c r="E213" s="3"/>
      <c r="F213" s="3"/>
      <c r="G213" s="3"/>
      <c r="H213" s="3"/>
      <c r="I213" s="3"/>
      <c r="J213" s="3"/>
      <c r="K213" s="3"/>
      <c r="L213" s="3"/>
      <c r="M213" s="3"/>
      <c r="N213" s="3"/>
      <c r="O213" s="3"/>
      <c r="P213" s="3"/>
      <c r="Q213" s="3"/>
      <c r="R213" s="3"/>
      <c r="S213" s="3"/>
      <c r="T213" s="3"/>
      <c r="U213" s="3"/>
      <c r="V213" s="3"/>
      <c r="W213" s="3"/>
      <c r="X213" s="3"/>
    </row>
    <row r="214" spans="1:24" ht="15.75" customHeight="1" x14ac:dyDescent="0.3">
      <c r="A214" s="3"/>
      <c r="B214" s="65"/>
      <c r="C214" s="3"/>
      <c r="D214" s="3"/>
      <c r="E214" s="3"/>
      <c r="F214" s="3"/>
      <c r="G214" s="3"/>
      <c r="H214" s="3"/>
      <c r="I214" s="3"/>
      <c r="J214" s="3"/>
      <c r="K214" s="3"/>
      <c r="L214" s="3"/>
      <c r="M214" s="3"/>
      <c r="N214" s="3"/>
      <c r="O214" s="3"/>
      <c r="P214" s="3"/>
      <c r="Q214" s="3"/>
      <c r="R214" s="3"/>
      <c r="S214" s="3"/>
      <c r="T214" s="3"/>
      <c r="U214" s="3"/>
      <c r="V214" s="3"/>
      <c r="W214" s="3"/>
      <c r="X214" s="3"/>
    </row>
    <row r="215" spans="1:24" ht="15.75" customHeight="1" x14ac:dyDescent="0.3">
      <c r="C215" s="3"/>
      <c r="D215" s="3"/>
      <c r="E215" s="3"/>
      <c r="F215" s="3"/>
      <c r="G215" s="3"/>
      <c r="H215" s="3"/>
      <c r="I215" s="3"/>
      <c r="J215" s="3"/>
      <c r="K215" s="3"/>
      <c r="L215" s="3"/>
      <c r="M215" s="3"/>
      <c r="N215" s="3"/>
      <c r="O215" s="3"/>
      <c r="P215" s="3"/>
      <c r="Q215" s="3"/>
      <c r="R215" s="3"/>
      <c r="S215" s="3"/>
      <c r="T215" s="3"/>
      <c r="U215" s="3"/>
      <c r="V215" s="3"/>
      <c r="W215" s="3"/>
      <c r="X215" s="3"/>
    </row>
    <row r="216" spans="1:24" ht="15.75" customHeight="1" x14ac:dyDescent="0.3"/>
    <row r="217" spans="1:24" ht="15.75" customHeight="1" x14ac:dyDescent="0.3"/>
    <row r="218" spans="1:24" ht="15.75" customHeight="1" x14ac:dyDescent="0.3"/>
    <row r="219" spans="1:24" ht="15.75" customHeight="1" x14ac:dyDescent="0.3"/>
    <row r="220" spans="1:24" ht="15.75" customHeight="1" x14ac:dyDescent="0.3"/>
    <row r="221" spans="1:24" ht="15.75" customHeight="1" x14ac:dyDescent="0.3"/>
    <row r="222" spans="1:24" ht="15.75" customHeight="1" x14ac:dyDescent="0.3"/>
    <row r="223" spans="1:24" ht="15.75" customHeight="1" x14ac:dyDescent="0.3"/>
    <row r="224" spans="1: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1000"/>
  <sheetViews>
    <sheetView workbookViewId="0">
      <selection activeCell="E7" sqref="E7"/>
    </sheetView>
  </sheetViews>
  <sheetFormatPr defaultColWidth="11.19921875" defaultRowHeight="15" customHeight="1" x14ac:dyDescent="0.3"/>
  <cols>
    <col min="1" max="1" width="14.296875" customWidth="1"/>
    <col min="2" max="2" width="12.3984375" customWidth="1"/>
    <col min="3" max="3" width="15.796875" customWidth="1"/>
    <col min="4" max="6" width="11.19921875" customWidth="1"/>
  </cols>
  <sheetData>
    <row r="1" spans="1:25" ht="15.6" x14ac:dyDescent="0.3">
      <c r="A1" s="61" t="s">
        <v>62</v>
      </c>
      <c r="B1" s="62" t="s">
        <v>166</v>
      </c>
      <c r="C1" s="3"/>
      <c r="D1" s="3"/>
      <c r="E1" s="3"/>
      <c r="F1" s="3"/>
      <c r="G1" s="3"/>
      <c r="H1" s="3"/>
      <c r="I1" s="3"/>
      <c r="J1" s="3"/>
      <c r="K1" s="3"/>
      <c r="L1" s="3"/>
      <c r="M1" s="3"/>
      <c r="N1" s="3"/>
      <c r="O1" s="3"/>
      <c r="P1" s="3"/>
      <c r="Q1" s="3"/>
      <c r="R1" s="3"/>
      <c r="S1" s="3"/>
      <c r="T1" s="3"/>
      <c r="U1" s="3"/>
      <c r="V1" s="3"/>
      <c r="W1" s="3"/>
      <c r="X1" s="3"/>
      <c r="Y1" s="3"/>
    </row>
    <row r="2" spans="1:25" ht="15.6" x14ac:dyDescent="0.3">
      <c r="A2" s="45" t="s">
        <v>63</v>
      </c>
      <c r="B2" s="45">
        <v>280</v>
      </c>
      <c r="C2" s="64" t="s">
        <v>165</v>
      </c>
      <c r="D2" s="3"/>
      <c r="E2" s="3"/>
      <c r="F2" s="3"/>
      <c r="G2" s="3"/>
      <c r="H2" s="3"/>
      <c r="I2" s="3"/>
      <c r="J2" s="3"/>
      <c r="K2" s="3"/>
      <c r="L2" s="3"/>
      <c r="M2" s="3"/>
      <c r="N2" s="3"/>
      <c r="O2" s="3"/>
      <c r="P2" s="3"/>
      <c r="Q2" s="3"/>
      <c r="R2" s="3"/>
      <c r="S2" s="3"/>
      <c r="T2" s="3"/>
      <c r="U2" s="3"/>
      <c r="V2" s="3"/>
      <c r="W2" s="3"/>
      <c r="X2" s="3"/>
      <c r="Y2" s="3"/>
    </row>
    <row r="3" spans="1:25" ht="15.6" x14ac:dyDescent="0.3">
      <c r="A3" s="45" t="s">
        <v>66</v>
      </c>
      <c r="B3" s="71">
        <v>480</v>
      </c>
      <c r="C3" s="3"/>
      <c r="D3" s="3"/>
      <c r="E3" s="3"/>
      <c r="F3" s="3"/>
      <c r="G3" s="3"/>
      <c r="H3" s="3"/>
      <c r="I3" s="3"/>
      <c r="J3" s="3"/>
      <c r="K3" s="3"/>
      <c r="L3" s="3"/>
      <c r="M3" s="3"/>
      <c r="N3" s="3"/>
      <c r="O3" s="3"/>
      <c r="P3" s="3"/>
      <c r="Q3" s="3"/>
      <c r="R3" s="3"/>
      <c r="S3" s="3"/>
      <c r="T3" s="3"/>
      <c r="U3" s="3"/>
      <c r="V3" s="3"/>
      <c r="W3" s="3"/>
      <c r="X3" s="3"/>
      <c r="Y3" s="3"/>
    </row>
    <row r="4" spans="1:25" ht="15.6" x14ac:dyDescent="0.3">
      <c r="A4" s="45" t="s">
        <v>102</v>
      </c>
      <c r="B4" s="71">
        <v>900</v>
      </c>
      <c r="C4" s="3"/>
      <c r="D4" s="3"/>
      <c r="E4" s="3"/>
      <c r="F4" s="3"/>
      <c r="G4" s="3"/>
      <c r="H4" s="3"/>
      <c r="I4" s="3"/>
      <c r="J4" s="3"/>
      <c r="K4" s="3"/>
      <c r="L4" s="3"/>
      <c r="M4" s="3"/>
      <c r="N4" s="3"/>
      <c r="O4" s="3"/>
      <c r="P4" s="3"/>
      <c r="Q4" s="3"/>
      <c r="R4" s="3"/>
      <c r="S4" s="3"/>
      <c r="T4" s="3"/>
      <c r="U4" s="3"/>
      <c r="V4" s="3"/>
      <c r="W4" s="3"/>
      <c r="X4" s="3"/>
      <c r="Y4" s="3"/>
    </row>
    <row r="5" spans="1:25" ht="15.6" x14ac:dyDescent="0.3">
      <c r="A5" s="45" t="s">
        <v>119</v>
      </c>
      <c r="B5" s="71">
        <v>400</v>
      </c>
      <c r="C5" s="3"/>
      <c r="D5" s="3"/>
      <c r="E5" s="3"/>
      <c r="F5" s="3"/>
      <c r="G5" s="3"/>
      <c r="H5" s="3"/>
      <c r="I5" s="3"/>
      <c r="J5" s="3"/>
      <c r="K5" s="3"/>
      <c r="L5" s="3"/>
      <c r="M5" s="3"/>
      <c r="N5" s="3"/>
      <c r="O5" s="3"/>
      <c r="P5" s="3"/>
      <c r="Q5" s="3"/>
      <c r="R5" s="3"/>
      <c r="S5" s="3"/>
      <c r="T5" s="3"/>
      <c r="U5" s="3"/>
      <c r="V5" s="3"/>
      <c r="W5" s="3"/>
      <c r="X5" s="3"/>
      <c r="Y5" s="3"/>
    </row>
    <row r="6" spans="1:25" ht="15.6" x14ac:dyDescent="0.3">
      <c r="A6" s="45" t="s">
        <v>126</v>
      </c>
      <c r="B6" s="71">
        <v>5</v>
      </c>
      <c r="C6" s="3"/>
      <c r="D6" s="3"/>
      <c r="E6" s="3"/>
      <c r="F6" s="3"/>
      <c r="G6" s="3"/>
      <c r="H6" s="3"/>
      <c r="I6" s="3"/>
      <c r="J6" s="3"/>
      <c r="K6" s="3"/>
      <c r="L6" s="3"/>
      <c r="M6" s="3"/>
      <c r="N6" s="3"/>
      <c r="O6" s="3"/>
      <c r="P6" s="3"/>
      <c r="Q6" s="3"/>
      <c r="R6" s="3"/>
      <c r="S6" s="3"/>
      <c r="T6" s="3"/>
      <c r="U6" s="3"/>
      <c r="V6" s="3"/>
      <c r="W6" s="3"/>
      <c r="X6" s="3"/>
      <c r="Y6" s="3"/>
    </row>
    <row r="7" spans="1:25" ht="15.6" x14ac:dyDescent="0.3">
      <c r="C7" s="3"/>
      <c r="D7" s="3"/>
      <c r="E7" s="3"/>
      <c r="F7" s="3"/>
      <c r="G7" s="3"/>
      <c r="H7" s="3"/>
      <c r="I7" s="3"/>
      <c r="J7" s="3"/>
      <c r="K7" s="3"/>
      <c r="L7" s="3"/>
      <c r="M7" s="3"/>
      <c r="N7" s="3"/>
      <c r="O7" s="3"/>
      <c r="P7" s="3"/>
      <c r="Q7" s="3"/>
      <c r="R7" s="3"/>
      <c r="S7" s="3"/>
      <c r="T7" s="3"/>
      <c r="U7" s="3"/>
      <c r="V7" s="3"/>
      <c r="W7" s="3"/>
      <c r="X7" s="3"/>
      <c r="Y7" s="3"/>
    </row>
    <row r="8" spans="1:25" ht="15.6" x14ac:dyDescent="0.3">
      <c r="A8" s="3"/>
      <c r="B8" s="3"/>
      <c r="C8" s="3"/>
      <c r="D8" s="3"/>
      <c r="E8" s="3"/>
      <c r="F8" s="3"/>
      <c r="G8" s="3"/>
      <c r="H8" s="3"/>
      <c r="I8" s="3"/>
      <c r="J8" s="3"/>
      <c r="K8" s="3"/>
      <c r="L8" s="3"/>
      <c r="M8" s="3"/>
      <c r="N8" s="3"/>
      <c r="O8" s="3"/>
      <c r="P8" s="3"/>
      <c r="Q8" s="3"/>
      <c r="R8" s="3"/>
      <c r="S8" s="3"/>
      <c r="T8" s="3"/>
      <c r="U8" s="3"/>
      <c r="V8" s="3"/>
      <c r="W8" s="3"/>
    </row>
    <row r="9" spans="1:25" ht="15.6" x14ac:dyDescent="0.3">
      <c r="A9" s="3"/>
      <c r="B9" s="3"/>
      <c r="C9" s="3"/>
      <c r="D9" s="3"/>
      <c r="E9" s="3"/>
      <c r="F9" s="3"/>
      <c r="G9" s="3"/>
      <c r="H9" s="3"/>
      <c r="I9" s="3"/>
      <c r="J9" s="3"/>
      <c r="K9" s="3"/>
      <c r="L9" s="3"/>
      <c r="M9" s="3"/>
      <c r="N9" s="3"/>
      <c r="O9" s="3"/>
      <c r="P9" s="3"/>
      <c r="Q9" s="3"/>
      <c r="R9" s="3"/>
      <c r="S9" s="3"/>
      <c r="T9" s="3"/>
      <c r="U9" s="3"/>
      <c r="V9" s="3"/>
      <c r="W9" s="3"/>
    </row>
    <row r="10" spans="1:25" ht="15.6" x14ac:dyDescent="0.3">
      <c r="A10" s="3"/>
      <c r="B10" s="3"/>
      <c r="C10" s="3"/>
      <c r="D10" s="3"/>
      <c r="E10" s="3"/>
      <c r="F10" s="3"/>
      <c r="G10" s="3"/>
      <c r="H10" s="3"/>
      <c r="I10" s="3"/>
      <c r="J10" s="3"/>
      <c r="K10" s="3"/>
      <c r="L10" s="3"/>
      <c r="M10" s="3"/>
      <c r="N10" s="3"/>
      <c r="O10" s="3"/>
      <c r="P10" s="3"/>
      <c r="Q10" s="3"/>
      <c r="R10" s="3"/>
      <c r="S10" s="3"/>
      <c r="T10" s="3"/>
      <c r="U10" s="3"/>
      <c r="V10" s="3"/>
      <c r="W10" s="3"/>
    </row>
    <row r="11" spans="1:25" ht="15.6" x14ac:dyDescent="0.3">
      <c r="A11" s="60"/>
      <c r="B11" s="65"/>
      <c r="C11" s="3"/>
      <c r="D11" s="3"/>
      <c r="E11" s="3"/>
      <c r="F11" s="3"/>
      <c r="G11" s="3"/>
      <c r="H11" s="3"/>
      <c r="I11" s="3"/>
      <c r="J11" s="3"/>
      <c r="K11" s="3"/>
      <c r="L11" s="3"/>
      <c r="M11" s="3"/>
      <c r="N11" s="3"/>
      <c r="O11" s="3"/>
      <c r="P11" s="3"/>
      <c r="Q11" s="3"/>
      <c r="R11" s="3"/>
      <c r="S11" s="3"/>
      <c r="T11" s="3"/>
      <c r="U11" s="3"/>
      <c r="V11" s="3"/>
      <c r="W11" s="3"/>
      <c r="X11" s="3"/>
      <c r="Y11" s="3"/>
    </row>
    <row r="12" spans="1:25" ht="15.6" x14ac:dyDescent="0.3">
      <c r="A12" s="3"/>
      <c r="B12" s="65"/>
      <c r="C12" s="3"/>
      <c r="D12" s="3"/>
      <c r="E12" s="3"/>
      <c r="F12" s="3"/>
      <c r="G12" s="3"/>
      <c r="H12" s="3"/>
      <c r="I12" s="3"/>
      <c r="J12" s="3"/>
      <c r="K12" s="3"/>
      <c r="L12" s="3"/>
      <c r="M12" s="3"/>
      <c r="N12" s="3"/>
      <c r="O12" s="3"/>
      <c r="P12" s="3"/>
      <c r="Q12" s="3"/>
      <c r="R12" s="3"/>
      <c r="S12" s="3"/>
      <c r="T12" s="3"/>
      <c r="U12" s="3"/>
      <c r="V12" s="3"/>
      <c r="W12" s="3"/>
      <c r="X12" s="3"/>
      <c r="Y12" s="3"/>
    </row>
    <row r="13" spans="1:25" ht="15.6" x14ac:dyDescent="0.3">
      <c r="A13" s="3"/>
      <c r="B13" s="65"/>
      <c r="C13" s="3"/>
      <c r="D13" s="3"/>
      <c r="E13" s="3"/>
      <c r="F13" s="3"/>
      <c r="G13" s="3"/>
      <c r="H13" s="3"/>
      <c r="I13" s="3"/>
      <c r="J13" s="3"/>
      <c r="K13" s="3"/>
      <c r="L13" s="3"/>
      <c r="M13" s="3"/>
      <c r="N13" s="3"/>
      <c r="O13" s="3"/>
      <c r="P13" s="3"/>
      <c r="Q13" s="3"/>
      <c r="R13" s="3"/>
      <c r="S13" s="3"/>
      <c r="T13" s="3"/>
      <c r="U13" s="3"/>
      <c r="V13" s="3"/>
      <c r="W13" s="3"/>
      <c r="X13" s="3"/>
      <c r="Y13" s="3"/>
    </row>
    <row r="14" spans="1:25" ht="15.6" x14ac:dyDescent="0.3">
      <c r="A14" s="3"/>
      <c r="B14" s="65"/>
      <c r="C14" s="3"/>
      <c r="D14" s="3"/>
      <c r="E14" s="3"/>
      <c r="F14" s="3"/>
      <c r="G14" s="3"/>
      <c r="H14" s="3"/>
      <c r="I14" s="3"/>
      <c r="J14" s="3"/>
      <c r="K14" s="3"/>
      <c r="L14" s="3"/>
      <c r="M14" s="3"/>
      <c r="N14" s="3"/>
      <c r="O14" s="3"/>
      <c r="P14" s="3"/>
      <c r="Q14" s="3"/>
      <c r="R14" s="3"/>
      <c r="S14" s="3"/>
      <c r="T14" s="3"/>
      <c r="U14" s="3"/>
      <c r="V14" s="3"/>
      <c r="W14" s="3"/>
      <c r="X14" s="3"/>
      <c r="Y14" s="3"/>
    </row>
    <row r="15" spans="1:25" ht="15.6" x14ac:dyDescent="0.3">
      <c r="A15" s="3"/>
      <c r="B15" s="65"/>
      <c r="C15" s="3"/>
      <c r="D15" s="3"/>
      <c r="E15" s="3"/>
      <c r="F15" s="3"/>
      <c r="G15" s="3"/>
      <c r="H15" s="3"/>
      <c r="I15" s="3"/>
      <c r="J15" s="3"/>
      <c r="K15" s="3"/>
      <c r="L15" s="3"/>
      <c r="M15" s="3"/>
      <c r="N15" s="3"/>
      <c r="O15" s="3"/>
      <c r="P15" s="3"/>
      <c r="Q15" s="3"/>
      <c r="R15" s="3"/>
      <c r="S15" s="3"/>
      <c r="T15" s="3"/>
      <c r="U15" s="3"/>
      <c r="V15" s="3"/>
      <c r="W15" s="3"/>
      <c r="X15" s="3"/>
      <c r="Y15" s="3"/>
    </row>
    <row r="16" spans="1:25" ht="15.6" x14ac:dyDescent="0.3">
      <c r="A16" s="3"/>
      <c r="B16" s="65"/>
      <c r="C16" s="3"/>
      <c r="D16" s="3"/>
      <c r="E16" s="3"/>
      <c r="F16" s="3"/>
      <c r="G16" s="3"/>
      <c r="H16" s="3"/>
      <c r="I16" s="3"/>
      <c r="J16" s="3"/>
      <c r="K16" s="3"/>
      <c r="L16" s="3"/>
      <c r="M16" s="3"/>
      <c r="N16" s="3"/>
      <c r="O16" s="3"/>
      <c r="P16" s="3"/>
      <c r="Q16" s="3"/>
      <c r="R16" s="3"/>
      <c r="S16" s="3"/>
      <c r="T16" s="3"/>
      <c r="U16" s="3"/>
      <c r="V16" s="3"/>
      <c r="W16" s="3"/>
      <c r="X16" s="3"/>
      <c r="Y16" s="3"/>
    </row>
    <row r="17" spans="1:25" ht="15.6" x14ac:dyDescent="0.3">
      <c r="A17" s="3"/>
      <c r="B17" s="65"/>
      <c r="C17" s="3"/>
      <c r="D17" s="3"/>
      <c r="E17" s="3"/>
      <c r="F17" s="3"/>
      <c r="G17" s="3"/>
      <c r="H17" s="3"/>
      <c r="I17" s="3"/>
      <c r="J17" s="3"/>
      <c r="K17" s="3"/>
      <c r="L17" s="3"/>
      <c r="M17" s="3"/>
      <c r="N17" s="3"/>
      <c r="O17" s="3"/>
      <c r="P17" s="3"/>
      <c r="Q17" s="3"/>
      <c r="R17" s="3"/>
      <c r="S17" s="3"/>
      <c r="T17" s="3"/>
      <c r="U17" s="3"/>
      <c r="V17" s="3"/>
      <c r="W17" s="3"/>
      <c r="X17" s="3"/>
      <c r="Y17" s="3"/>
    </row>
    <row r="18" spans="1:25" ht="15.6" x14ac:dyDescent="0.3">
      <c r="A18" s="3"/>
      <c r="B18" s="65"/>
      <c r="C18" s="3"/>
      <c r="D18" s="3"/>
      <c r="E18" s="3"/>
      <c r="F18" s="3"/>
      <c r="G18" s="3"/>
      <c r="H18" s="3"/>
      <c r="I18" s="3"/>
      <c r="J18" s="3"/>
      <c r="K18" s="3"/>
      <c r="L18" s="3"/>
      <c r="M18" s="3"/>
      <c r="N18" s="3"/>
      <c r="O18" s="3"/>
      <c r="P18" s="3"/>
      <c r="Q18" s="3"/>
      <c r="R18" s="3"/>
      <c r="S18" s="3"/>
      <c r="T18" s="3"/>
      <c r="U18" s="3"/>
      <c r="V18" s="3"/>
      <c r="W18" s="3"/>
      <c r="X18" s="3"/>
      <c r="Y18" s="3"/>
    </row>
    <row r="19" spans="1:25" ht="15.6" x14ac:dyDescent="0.3">
      <c r="A19" s="3"/>
      <c r="B19" s="65"/>
      <c r="C19" s="3"/>
      <c r="D19" s="3"/>
      <c r="E19" s="3"/>
      <c r="F19" s="3"/>
      <c r="G19" s="3"/>
      <c r="H19" s="3"/>
      <c r="I19" s="3"/>
      <c r="J19" s="3"/>
      <c r="K19" s="3"/>
      <c r="L19" s="3"/>
      <c r="M19" s="3"/>
      <c r="N19" s="3"/>
      <c r="O19" s="3"/>
      <c r="P19" s="3"/>
      <c r="Q19" s="3"/>
      <c r="R19" s="3"/>
      <c r="S19" s="3"/>
      <c r="T19" s="3"/>
      <c r="U19" s="3"/>
      <c r="V19" s="3"/>
      <c r="W19" s="3"/>
      <c r="X19" s="3"/>
      <c r="Y19" s="3"/>
    </row>
    <row r="20" spans="1:25" ht="15.6" x14ac:dyDescent="0.3">
      <c r="A20" s="3"/>
      <c r="B20" s="65"/>
      <c r="C20" s="3"/>
      <c r="D20" s="3"/>
      <c r="E20" s="3"/>
      <c r="F20" s="3"/>
      <c r="G20" s="3"/>
      <c r="H20" s="3"/>
      <c r="I20" s="3"/>
      <c r="J20" s="3"/>
      <c r="K20" s="3"/>
      <c r="L20" s="3"/>
      <c r="M20" s="3"/>
      <c r="N20" s="3"/>
      <c r="O20" s="3"/>
      <c r="P20" s="3"/>
      <c r="Q20" s="3"/>
      <c r="R20" s="3"/>
      <c r="S20" s="3"/>
      <c r="T20" s="3"/>
      <c r="U20" s="3"/>
      <c r="V20" s="3"/>
      <c r="W20" s="3"/>
      <c r="X20" s="3"/>
      <c r="Y20" s="3"/>
    </row>
    <row r="21" spans="1:25" ht="15.75" customHeight="1" x14ac:dyDescent="0.3">
      <c r="A21" s="3"/>
      <c r="B21" s="65"/>
      <c r="C21" s="3"/>
      <c r="D21" s="3"/>
      <c r="E21" s="3"/>
      <c r="F21" s="3"/>
      <c r="G21" s="3"/>
      <c r="H21" s="3"/>
      <c r="I21" s="3"/>
      <c r="J21" s="3"/>
      <c r="K21" s="3"/>
      <c r="L21" s="3"/>
      <c r="M21" s="3"/>
      <c r="N21" s="3"/>
      <c r="O21" s="3"/>
      <c r="P21" s="3"/>
      <c r="Q21" s="3"/>
      <c r="R21" s="3"/>
      <c r="S21" s="3"/>
      <c r="T21" s="3"/>
      <c r="U21" s="3"/>
      <c r="V21" s="3"/>
      <c r="W21" s="3"/>
      <c r="X21" s="3"/>
      <c r="Y21" s="3"/>
    </row>
    <row r="22" spans="1:25" ht="15.75" customHeight="1" x14ac:dyDescent="0.3">
      <c r="A22" s="3"/>
      <c r="B22" s="65"/>
      <c r="C22" s="3"/>
      <c r="D22" s="3"/>
      <c r="E22" s="3"/>
      <c r="F22" s="3"/>
      <c r="G22" s="3"/>
      <c r="H22" s="3"/>
      <c r="I22" s="3"/>
      <c r="J22" s="3"/>
      <c r="K22" s="3"/>
      <c r="L22" s="3"/>
      <c r="M22" s="3"/>
      <c r="N22" s="3"/>
      <c r="O22" s="3"/>
      <c r="P22" s="3"/>
      <c r="Q22" s="3"/>
      <c r="R22" s="3"/>
      <c r="S22" s="3"/>
      <c r="T22" s="3"/>
      <c r="U22" s="3"/>
      <c r="V22" s="3"/>
      <c r="W22" s="3"/>
      <c r="X22" s="3"/>
      <c r="Y22" s="3"/>
    </row>
    <row r="23" spans="1:25" ht="15.75" customHeight="1" x14ac:dyDescent="0.3">
      <c r="A23" s="3"/>
      <c r="B23" s="65"/>
      <c r="C23" s="3"/>
      <c r="D23" s="3"/>
      <c r="E23" s="3"/>
      <c r="F23" s="3"/>
      <c r="G23" s="3"/>
      <c r="H23" s="3"/>
      <c r="I23" s="3"/>
      <c r="J23" s="3"/>
      <c r="K23" s="3"/>
      <c r="L23" s="3"/>
      <c r="M23" s="3"/>
      <c r="N23" s="3"/>
      <c r="O23" s="3"/>
      <c r="P23" s="3"/>
      <c r="Q23" s="3"/>
      <c r="R23" s="3"/>
      <c r="S23" s="3"/>
      <c r="T23" s="3"/>
      <c r="U23" s="3"/>
      <c r="V23" s="3"/>
      <c r="W23" s="3"/>
      <c r="X23" s="3"/>
      <c r="Y23" s="3"/>
    </row>
    <row r="24" spans="1:25" ht="15.75" customHeight="1" x14ac:dyDescent="0.3">
      <c r="A24" s="3"/>
      <c r="B24" s="65"/>
      <c r="C24" s="3"/>
      <c r="D24" s="3"/>
      <c r="E24" s="3"/>
      <c r="F24" s="3"/>
      <c r="G24" s="3"/>
      <c r="H24" s="3"/>
      <c r="I24" s="3"/>
      <c r="J24" s="3"/>
      <c r="K24" s="3"/>
      <c r="L24" s="3"/>
      <c r="M24" s="3"/>
      <c r="N24" s="3"/>
      <c r="O24" s="3"/>
      <c r="P24" s="3"/>
      <c r="Q24" s="3"/>
      <c r="R24" s="3"/>
      <c r="S24" s="3"/>
      <c r="T24" s="3"/>
      <c r="U24" s="3"/>
      <c r="V24" s="3"/>
      <c r="W24" s="3"/>
      <c r="X24" s="3"/>
      <c r="Y24" s="3"/>
    </row>
    <row r="25" spans="1:25" ht="15.75" customHeight="1" x14ac:dyDescent="0.3">
      <c r="A25" s="3"/>
      <c r="B25" s="65"/>
      <c r="C25" s="3"/>
      <c r="D25" s="3"/>
      <c r="E25" s="3"/>
      <c r="F25" s="3"/>
      <c r="G25" s="3"/>
      <c r="H25" s="3"/>
      <c r="I25" s="3"/>
      <c r="J25" s="3"/>
      <c r="K25" s="3"/>
      <c r="L25" s="3"/>
      <c r="M25" s="3"/>
      <c r="N25" s="3"/>
      <c r="O25" s="3"/>
      <c r="P25" s="3"/>
      <c r="Q25" s="3"/>
      <c r="R25" s="3"/>
      <c r="S25" s="3"/>
      <c r="T25" s="3"/>
      <c r="U25" s="3"/>
      <c r="V25" s="3"/>
      <c r="W25" s="3"/>
      <c r="X25" s="3"/>
      <c r="Y25" s="3"/>
    </row>
    <row r="26" spans="1:25" ht="15.75" customHeight="1" x14ac:dyDescent="0.3">
      <c r="A26" s="3"/>
      <c r="B26" s="65"/>
      <c r="C26" s="3"/>
      <c r="D26" s="3"/>
      <c r="E26" s="3"/>
      <c r="F26" s="3"/>
      <c r="G26" s="3"/>
      <c r="H26" s="3"/>
      <c r="I26" s="3"/>
      <c r="J26" s="3"/>
      <c r="K26" s="3"/>
      <c r="L26" s="3"/>
      <c r="M26" s="3"/>
      <c r="N26" s="3"/>
      <c r="O26" s="3"/>
      <c r="P26" s="3"/>
      <c r="Q26" s="3"/>
      <c r="R26" s="3"/>
      <c r="S26" s="3"/>
      <c r="T26" s="3"/>
      <c r="U26" s="3"/>
      <c r="V26" s="3"/>
      <c r="W26" s="3"/>
      <c r="X26" s="3"/>
      <c r="Y26" s="3"/>
    </row>
    <row r="27" spans="1:25" ht="15.75" customHeight="1" x14ac:dyDescent="0.3">
      <c r="A27" s="3"/>
      <c r="B27" s="65"/>
      <c r="C27" s="3"/>
      <c r="D27" s="3"/>
      <c r="E27" s="3"/>
      <c r="F27" s="3"/>
      <c r="G27" s="3"/>
      <c r="H27" s="3"/>
      <c r="I27" s="3"/>
      <c r="J27" s="3"/>
      <c r="K27" s="3"/>
      <c r="L27" s="3"/>
      <c r="M27" s="3"/>
      <c r="N27" s="3"/>
      <c r="O27" s="3"/>
      <c r="P27" s="3"/>
      <c r="Q27" s="3"/>
      <c r="R27" s="3"/>
      <c r="S27" s="3"/>
      <c r="T27" s="3"/>
      <c r="U27" s="3"/>
      <c r="V27" s="3"/>
      <c r="W27" s="3"/>
      <c r="X27" s="3"/>
      <c r="Y27" s="3"/>
    </row>
    <row r="28" spans="1:25" ht="15.75" customHeight="1" x14ac:dyDescent="0.3">
      <c r="A28" s="3"/>
      <c r="B28" s="65"/>
      <c r="C28" s="3"/>
      <c r="D28" s="3"/>
      <c r="E28" s="3"/>
      <c r="F28" s="3"/>
      <c r="G28" s="3"/>
      <c r="H28" s="3"/>
      <c r="I28" s="3"/>
      <c r="J28" s="3"/>
      <c r="K28" s="3"/>
      <c r="L28" s="3"/>
      <c r="M28" s="3"/>
      <c r="N28" s="3"/>
      <c r="O28" s="3"/>
      <c r="P28" s="3"/>
      <c r="Q28" s="3"/>
      <c r="R28" s="3"/>
      <c r="S28" s="3"/>
      <c r="T28" s="3"/>
      <c r="U28" s="3"/>
      <c r="V28" s="3"/>
      <c r="W28" s="3"/>
      <c r="X28" s="3"/>
      <c r="Y28" s="3"/>
    </row>
    <row r="29" spans="1:25" ht="15.75" customHeight="1" x14ac:dyDescent="0.3">
      <c r="A29" s="3"/>
      <c r="B29" s="65"/>
      <c r="C29" s="3"/>
      <c r="D29" s="3"/>
      <c r="E29" s="3"/>
      <c r="F29" s="3"/>
      <c r="G29" s="3"/>
      <c r="H29" s="3"/>
      <c r="I29" s="3"/>
      <c r="J29" s="3"/>
      <c r="K29" s="3"/>
      <c r="L29" s="3"/>
      <c r="M29" s="3"/>
      <c r="N29" s="3"/>
      <c r="O29" s="3"/>
      <c r="P29" s="3"/>
      <c r="Q29" s="3"/>
      <c r="R29" s="3"/>
      <c r="S29" s="3"/>
      <c r="T29" s="3"/>
      <c r="U29" s="3"/>
      <c r="V29" s="3"/>
      <c r="W29" s="3"/>
      <c r="X29" s="3"/>
      <c r="Y29" s="3"/>
    </row>
    <row r="30" spans="1:25" ht="15.75" customHeight="1" x14ac:dyDescent="0.3">
      <c r="A30" s="3"/>
      <c r="B30" s="65"/>
      <c r="C30" s="3"/>
      <c r="D30" s="3"/>
      <c r="E30" s="3"/>
      <c r="F30" s="3"/>
      <c r="G30" s="3"/>
      <c r="H30" s="3"/>
      <c r="I30" s="3"/>
      <c r="J30" s="3"/>
      <c r="K30" s="3"/>
      <c r="L30" s="3"/>
      <c r="M30" s="3"/>
      <c r="N30" s="3"/>
      <c r="O30" s="3"/>
      <c r="P30" s="3"/>
      <c r="Q30" s="3"/>
      <c r="R30" s="3"/>
      <c r="S30" s="3"/>
      <c r="T30" s="3"/>
      <c r="U30" s="3"/>
      <c r="V30" s="3"/>
      <c r="W30" s="3"/>
      <c r="X30" s="3"/>
      <c r="Y30" s="3"/>
    </row>
    <row r="31" spans="1:25" ht="15.75" customHeight="1" x14ac:dyDescent="0.3">
      <c r="A31" s="3"/>
      <c r="B31" s="65"/>
      <c r="C31" s="3"/>
      <c r="D31" s="3"/>
      <c r="E31" s="3"/>
      <c r="F31" s="3"/>
      <c r="G31" s="3"/>
      <c r="H31" s="3"/>
      <c r="I31" s="3"/>
      <c r="J31" s="3"/>
      <c r="K31" s="3"/>
      <c r="L31" s="3"/>
      <c r="M31" s="3"/>
      <c r="N31" s="3"/>
      <c r="O31" s="3"/>
      <c r="P31" s="3"/>
      <c r="Q31" s="3"/>
      <c r="R31" s="3"/>
      <c r="S31" s="3"/>
      <c r="T31" s="3"/>
      <c r="U31" s="3"/>
      <c r="V31" s="3"/>
      <c r="W31" s="3"/>
      <c r="X31" s="3"/>
      <c r="Y31" s="3"/>
    </row>
    <row r="32" spans="1:25" ht="15.75" customHeight="1" x14ac:dyDescent="0.3">
      <c r="A32" s="3"/>
      <c r="B32" s="65"/>
      <c r="C32" s="3"/>
      <c r="D32" s="3"/>
      <c r="E32" s="3"/>
      <c r="F32" s="3"/>
      <c r="G32" s="3"/>
      <c r="H32" s="3"/>
      <c r="I32" s="3"/>
      <c r="J32" s="3"/>
      <c r="K32" s="3"/>
      <c r="L32" s="3"/>
      <c r="M32" s="3"/>
      <c r="N32" s="3"/>
      <c r="O32" s="3"/>
      <c r="P32" s="3"/>
      <c r="Q32" s="3"/>
      <c r="R32" s="3"/>
      <c r="S32" s="3"/>
      <c r="T32" s="3"/>
      <c r="U32" s="3"/>
      <c r="V32" s="3"/>
      <c r="W32" s="3"/>
      <c r="X32" s="3"/>
      <c r="Y32" s="3"/>
    </row>
    <row r="33" spans="1:25" ht="15.75" customHeight="1" x14ac:dyDescent="0.3">
      <c r="A33" s="3"/>
      <c r="B33" s="65"/>
      <c r="C33" s="3"/>
      <c r="D33" s="3"/>
      <c r="E33" s="3"/>
      <c r="F33" s="3"/>
      <c r="G33" s="3"/>
      <c r="H33" s="3"/>
      <c r="I33" s="3"/>
      <c r="J33" s="3"/>
      <c r="K33" s="3"/>
      <c r="L33" s="3"/>
      <c r="M33" s="3"/>
      <c r="N33" s="3"/>
      <c r="O33" s="3"/>
      <c r="P33" s="3"/>
      <c r="Q33" s="3"/>
      <c r="R33" s="3"/>
      <c r="S33" s="3"/>
      <c r="T33" s="3"/>
      <c r="U33" s="3"/>
      <c r="V33" s="3"/>
      <c r="W33" s="3"/>
      <c r="X33" s="3"/>
      <c r="Y33" s="3"/>
    </row>
    <row r="34" spans="1:25" ht="15.75" customHeight="1" x14ac:dyDescent="0.3">
      <c r="A34" s="3"/>
      <c r="B34" s="65"/>
      <c r="C34" s="3"/>
      <c r="D34" s="3"/>
      <c r="E34" s="3"/>
      <c r="F34" s="3"/>
      <c r="G34" s="3"/>
      <c r="H34" s="3"/>
      <c r="I34" s="3"/>
      <c r="J34" s="3"/>
      <c r="K34" s="3"/>
      <c r="L34" s="3"/>
      <c r="M34" s="3"/>
      <c r="N34" s="3"/>
      <c r="O34" s="3"/>
      <c r="P34" s="3"/>
      <c r="Q34" s="3"/>
      <c r="R34" s="3"/>
      <c r="S34" s="3"/>
      <c r="T34" s="3"/>
      <c r="U34" s="3"/>
      <c r="V34" s="3"/>
      <c r="W34" s="3"/>
      <c r="X34" s="3"/>
      <c r="Y34" s="3"/>
    </row>
    <row r="35" spans="1:25" ht="15.75" customHeight="1" x14ac:dyDescent="0.3">
      <c r="A35" s="3"/>
      <c r="B35" s="65"/>
      <c r="C35" s="3"/>
      <c r="D35" s="3"/>
      <c r="E35" s="3"/>
      <c r="F35" s="3"/>
      <c r="G35" s="3"/>
      <c r="H35" s="3"/>
      <c r="I35" s="3"/>
      <c r="J35" s="3"/>
      <c r="K35" s="3"/>
      <c r="L35" s="3"/>
      <c r="M35" s="3"/>
      <c r="N35" s="3"/>
      <c r="O35" s="3"/>
      <c r="P35" s="3"/>
      <c r="Q35" s="3"/>
      <c r="R35" s="3"/>
      <c r="S35" s="3"/>
      <c r="T35" s="3"/>
      <c r="U35" s="3"/>
      <c r="V35" s="3"/>
      <c r="W35" s="3"/>
      <c r="X35" s="3"/>
      <c r="Y35" s="3"/>
    </row>
    <row r="36" spans="1:25" ht="15.75" customHeight="1" x14ac:dyDescent="0.3">
      <c r="A36" s="3"/>
      <c r="B36" s="65"/>
      <c r="C36" s="3"/>
      <c r="D36" s="3"/>
      <c r="E36" s="3"/>
      <c r="F36" s="3"/>
      <c r="G36" s="3"/>
      <c r="H36" s="3"/>
      <c r="I36" s="3"/>
      <c r="J36" s="3"/>
      <c r="K36" s="3"/>
      <c r="L36" s="3"/>
      <c r="M36" s="3"/>
      <c r="N36" s="3"/>
      <c r="O36" s="3"/>
      <c r="P36" s="3"/>
      <c r="Q36" s="3"/>
      <c r="R36" s="3"/>
      <c r="S36" s="3"/>
      <c r="T36" s="3"/>
      <c r="U36" s="3"/>
      <c r="V36" s="3"/>
      <c r="W36" s="3"/>
      <c r="X36" s="3"/>
      <c r="Y36" s="3"/>
    </row>
    <row r="37" spans="1:25" ht="15.75" customHeight="1" x14ac:dyDescent="0.3">
      <c r="A37" s="3"/>
      <c r="B37" s="65"/>
      <c r="C37" s="3"/>
      <c r="D37" s="3"/>
      <c r="E37" s="3"/>
      <c r="F37" s="3"/>
      <c r="G37" s="3"/>
      <c r="H37" s="3"/>
      <c r="I37" s="3"/>
      <c r="J37" s="3"/>
      <c r="K37" s="3"/>
      <c r="L37" s="3"/>
      <c r="M37" s="3"/>
      <c r="N37" s="3"/>
      <c r="O37" s="3"/>
      <c r="P37" s="3"/>
      <c r="Q37" s="3"/>
      <c r="R37" s="3"/>
      <c r="S37" s="3"/>
      <c r="T37" s="3"/>
      <c r="U37" s="3"/>
      <c r="V37" s="3"/>
      <c r="W37" s="3"/>
      <c r="X37" s="3"/>
      <c r="Y37" s="3"/>
    </row>
    <row r="38" spans="1:25" ht="15.75" customHeight="1" x14ac:dyDescent="0.3">
      <c r="A38" s="3"/>
      <c r="B38" s="65"/>
      <c r="C38" s="3"/>
      <c r="D38" s="3"/>
      <c r="E38" s="3"/>
      <c r="F38" s="3"/>
      <c r="G38" s="3"/>
      <c r="H38" s="3"/>
      <c r="I38" s="3"/>
      <c r="J38" s="3"/>
      <c r="K38" s="3"/>
      <c r="L38" s="3"/>
      <c r="M38" s="3"/>
      <c r="N38" s="3"/>
      <c r="O38" s="3"/>
      <c r="P38" s="3"/>
      <c r="Q38" s="3"/>
      <c r="R38" s="3"/>
      <c r="S38" s="3"/>
      <c r="T38" s="3"/>
      <c r="U38" s="3"/>
      <c r="V38" s="3"/>
      <c r="W38" s="3"/>
      <c r="X38" s="3"/>
      <c r="Y38" s="3"/>
    </row>
    <row r="39" spans="1:25" ht="15.75" customHeight="1" x14ac:dyDescent="0.3">
      <c r="A39" s="3"/>
      <c r="B39" s="65"/>
      <c r="C39" s="3"/>
      <c r="D39" s="3"/>
      <c r="E39" s="3"/>
      <c r="F39" s="3"/>
      <c r="G39" s="3"/>
      <c r="H39" s="3"/>
      <c r="I39" s="3"/>
      <c r="J39" s="3"/>
      <c r="K39" s="3"/>
      <c r="L39" s="3"/>
      <c r="M39" s="3"/>
      <c r="N39" s="3"/>
      <c r="O39" s="3"/>
      <c r="P39" s="3"/>
      <c r="Q39" s="3"/>
      <c r="R39" s="3"/>
      <c r="S39" s="3"/>
      <c r="T39" s="3"/>
      <c r="U39" s="3"/>
      <c r="V39" s="3"/>
      <c r="W39" s="3"/>
      <c r="X39" s="3"/>
      <c r="Y39" s="3"/>
    </row>
    <row r="40" spans="1:25" ht="15.75" customHeight="1" x14ac:dyDescent="0.3">
      <c r="A40" s="3"/>
      <c r="B40" s="65"/>
      <c r="C40" s="3"/>
      <c r="D40" s="3"/>
      <c r="E40" s="3"/>
      <c r="F40" s="3"/>
      <c r="G40" s="3"/>
      <c r="H40" s="3"/>
      <c r="I40" s="3"/>
      <c r="J40" s="3"/>
      <c r="K40" s="3"/>
      <c r="L40" s="3"/>
      <c r="M40" s="3"/>
      <c r="N40" s="3"/>
      <c r="O40" s="3"/>
      <c r="P40" s="3"/>
      <c r="Q40" s="3"/>
      <c r="R40" s="3"/>
      <c r="S40" s="3"/>
      <c r="T40" s="3"/>
      <c r="U40" s="3"/>
      <c r="V40" s="3"/>
      <c r="W40" s="3"/>
      <c r="X40" s="3"/>
      <c r="Y40" s="3"/>
    </row>
    <row r="41" spans="1:25" ht="15.75" customHeight="1" x14ac:dyDescent="0.3">
      <c r="A41" s="3"/>
      <c r="B41" s="65"/>
      <c r="C41" s="3"/>
      <c r="D41" s="3"/>
      <c r="E41" s="3"/>
      <c r="F41" s="3"/>
      <c r="G41" s="3"/>
      <c r="H41" s="3"/>
      <c r="I41" s="3"/>
      <c r="J41" s="3"/>
      <c r="K41" s="3"/>
      <c r="L41" s="3"/>
      <c r="M41" s="3"/>
      <c r="N41" s="3"/>
      <c r="O41" s="3"/>
      <c r="P41" s="3"/>
      <c r="Q41" s="3"/>
      <c r="R41" s="3"/>
      <c r="S41" s="3"/>
      <c r="T41" s="3"/>
      <c r="U41" s="3"/>
      <c r="V41" s="3"/>
      <c r="W41" s="3"/>
      <c r="X41" s="3"/>
      <c r="Y41" s="3"/>
    </row>
    <row r="42" spans="1:25" ht="15.75" customHeight="1" x14ac:dyDescent="0.3">
      <c r="A42" s="3"/>
      <c r="B42" s="65"/>
      <c r="C42" s="3"/>
      <c r="D42" s="3"/>
      <c r="E42" s="3"/>
      <c r="F42" s="3"/>
      <c r="G42" s="3"/>
      <c r="H42" s="3"/>
      <c r="I42" s="3"/>
      <c r="J42" s="3"/>
      <c r="K42" s="3"/>
      <c r="L42" s="3"/>
      <c r="M42" s="3"/>
      <c r="N42" s="3"/>
      <c r="O42" s="3"/>
      <c r="P42" s="3"/>
      <c r="Q42" s="3"/>
      <c r="R42" s="3"/>
      <c r="S42" s="3"/>
      <c r="T42" s="3"/>
      <c r="U42" s="3"/>
      <c r="V42" s="3"/>
      <c r="W42" s="3"/>
      <c r="X42" s="3"/>
      <c r="Y42" s="3"/>
    </row>
    <row r="43" spans="1:25" ht="15.75" customHeight="1" x14ac:dyDescent="0.3">
      <c r="A43" s="3"/>
      <c r="B43" s="65"/>
      <c r="C43" s="3"/>
      <c r="D43" s="3"/>
      <c r="E43" s="3"/>
      <c r="F43" s="3"/>
      <c r="G43" s="3"/>
      <c r="H43" s="3"/>
      <c r="I43" s="3"/>
      <c r="J43" s="3"/>
      <c r="K43" s="3"/>
      <c r="L43" s="3"/>
      <c r="M43" s="3"/>
      <c r="N43" s="3"/>
      <c r="O43" s="3"/>
      <c r="P43" s="3"/>
      <c r="Q43" s="3"/>
      <c r="R43" s="3"/>
      <c r="S43" s="3"/>
      <c r="T43" s="3"/>
      <c r="U43" s="3"/>
      <c r="V43" s="3"/>
      <c r="W43" s="3"/>
      <c r="X43" s="3"/>
      <c r="Y43" s="3"/>
    </row>
    <row r="44" spans="1:25" ht="15.75" customHeight="1" x14ac:dyDescent="0.3">
      <c r="A44" s="3"/>
      <c r="B44" s="65"/>
      <c r="C44" s="3"/>
      <c r="D44" s="3"/>
      <c r="E44" s="3"/>
      <c r="F44" s="3"/>
      <c r="G44" s="3"/>
      <c r="H44" s="3"/>
      <c r="I44" s="3"/>
      <c r="J44" s="3"/>
      <c r="K44" s="3"/>
      <c r="L44" s="3"/>
      <c r="M44" s="3"/>
      <c r="N44" s="3"/>
      <c r="O44" s="3"/>
      <c r="P44" s="3"/>
      <c r="Q44" s="3"/>
      <c r="R44" s="3"/>
      <c r="S44" s="3"/>
      <c r="T44" s="3"/>
      <c r="U44" s="3"/>
      <c r="V44" s="3"/>
      <c r="W44" s="3"/>
      <c r="X44" s="3"/>
      <c r="Y44" s="3"/>
    </row>
    <row r="45" spans="1:25" ht="15.75" customHeight="1" x14ac:dyDescent="0.3">
      <c r="A45" s="3"/>
      <c r="B45" s="65"/>
      <c r="C45" s="3"/>
      <c r="D45" s="3"/>
      <c r="E45" s="3"/>
      <c r="F45" s="3"/>
      <c r="G45" s="3"/>
      <c r="H45" s="3"/>
      <c r="I45" s="3"/>
      <c r="J45" s="3"/>
      <c r="K45" s="3"/>
      <c r="L45" s="3"/>
      <c r="M45" s="3"/>
      <c r="N45" s="3"/>
      <c r="O45" s="3"/>
      <c r="P45" s="3"/>
      <c r="Q45" s="3"/>
      <c r="R45" s="3"/>
      <c r="S45" s="3"/>
      <c r="T45" s="3"/>
      <c r="U45" s="3"/>
      <c r="V45" s="3"/>
      <c r="W45" s="3"/>
      <c r="X45" s="3"/>
      <c r="Y45" s="3"/>
    </row>
    <row r="46" spans="1:25" ht="15.75" customHeight="1" x14ac:dyDescent="0.3">
      <c r="A46" s="3"/>
      <c r="B46" s="65"/>
      <c r="C46" s="3"/>
      <c r="D46" s="3"/>
      <c r="E46" s="3"/>
      <c r="F46" s="3"/>
      <c r="G46" s="3"/>
      <c r="H46" s="3"/>
      <c r="I46" s="3"/>
      <c r="J46" s="3"/>
      <c r="K46" s="3"/>
      <c r="L46" s="3"/>
      <c r="M46" s="3"/>
      <c r="N46" s="3"/>
      <c r="O46" s="3"/>
      <c r="P46" s="3"/>
      <c r="Q46" s="3"/>
      <c r="R46" s="3"/>
      <c r="S46" s="3"/>
      <c r="T46" s="3"/>
      <c r="U46" s="3"/>
      <c r="V46" s="3"/>
      <c r="W46" s="3"/>
      <c r="X46" s="3"/>
      <c r="Y46" s="3"/>
    </row>
    <row r="47" spans="1:25" ht="15.75" customHeight="1" x14ac:dyDescent="0.3">
      <c r="A47" s="3"/>
      <c r="B47" s="65"/>
      <c r="C47" s="3"/>
      <c r="D47" s="3"/>
      <c r="E47" s="3"/>
      <c r="F47" s="3"/>
      <c r="G47" s="3"/>
      <c r="H47" s="3"/>
      <c r="I47" s="3"/>
      <c r="J47" s="3"/>
      <c r="K47" s="3"/>
      <c r="L47" s="3"/>
      <c r="M47" s="3"/>
      <c r="N47" s="3"/>
      <c r="O47" s="3"/>
      <c r="P47" s="3"/>
      <c r="Q47" s="3"/>
      <c r="R47" s="3"/>
      <c r="S47" s="3"/>
      <c r="T47" s="3"/>
      <c r="U47" s="3"/>
      <c r="V47" s="3"/>
      <c r="W47" s="3"/>
      <c r="X47" s="3"/>
      <c r="Y47" s="3"/>
    </row>
    <row r="48" spans="1:25" ht="15.75" customHeight="1" x14ac:dyDescent="0.3">
      <c r="A48" s="3"/>
      <c r="B48" s="65"/>
      <c r="C48" s="3"/>
      <c r="D48" s="3"/>
      <c r="E48" s="3"/>
      <c r="F48" s="3"/>
      <c r="G48" s="3"/>
      <c r="H48" s="3"/>
      <c r="I48" s="3"/>
      <c r="J48" s="3"/>
      <c r="K48" s="3"/>
      <c r="L48" s="3"/>
      <c r="M48" s="3"/>
      <c r="N48" s="3"/>
      <c r="O48" s="3"/>
      <c r="P48" s="3"/>
      <c r="Q48" s="3"/>
      <c r="R48" s="3"/>
      <c r="S48" s="3"/>
      <c r="T48" s="3"/>
      <c r="U48" s="3"/>
      <c r="V48" s="3"/>
      <c r="W48" s="3"/>
      <c r="X48" s="3"/>
      <c r="Y48" s="3"/>
    </row>
    <row r="49" spans="1:25" ht="15.75" customHeight="1" x14ac:dyDescent="0.3">
      <c r="A49" s="3"/>
      <c r="B49" s="65"/>
      <c r="C49" s="3"/>
      <c r="D49" s="3"/>
      <c r="E49" s="3"/>
      <c r="F49" s="3"/>
      <c r="G49" s="3"/>
      <c r="H49" s="3"/>
      <c r="I49" s="3"/>
      <c r="J49" s="3"/>
      <c r="K49" s="3"/>
      <c r="L49" s="3"/>
      <c r="M49" s="3"/>
      <c r="N49" s="3"/>
      <c r="O49" s="3"/>
      <c r="P49" s="3"/>
      <c r="Q49" s="3"/>
      <c r="R49" s="3"/>
      <c r="S49" s="3"/>
      <c r="T49" s="3"/>
      <c r="U49" s="3"/>
      <c r="V49" s="3"/>
      <c r="W49" s="3"/>
      <c r="X49" s="3"/>
      <c r="Y49" s="3"/>
    </row>
    <row r="50" spans="1:25" ht="15.75" customHeight="1" x14ac:dyDescent="0.3">
      <c r="A50" s="3"/>
      <c r="B50" s="65"/>
      <c r="C50" s="3"/>
      <c r="D50" s="3"/>
      <c r="E50" s="3"/>
      <c r="F50" s="3"/>
      <c r="G50" s="3"/>
      <c r="H50" s="3"/>
      <c r="I50" s="3"/>
      <c r="J50" s="3"/>
      <c r="K50" s="3"/>
      <c r="L50" s="3"/>
      <c r="M50" s="3"/>
      <c r="N50" s="3"/>
      <c r="O50" s="3"/>
      <c r="P50" s="3"/>
      <c r="Q50" s="3"/>
      <c r="R50" s="3"/>
      <c r="S50" s="3"/>
      <c r="T50" s="3"/>
      <c r="U50" s="3"/>
      <c r="V50" s="3"/>
      <c r="W50" s="3"/>
      <c r="X50" s="3"/>
      <c r="Y50" s="3"/>
    </row>
    <row r="51" spans="1:25" ht="15.75" customHeight="1" x14ac:dyDescent="0.3">
      <c r="A51" s="3"/>
      <c r="B51" s="65"/>
      <c r="C51" s="3"/>
      <c r="D51" s="3"/>
      <c r="E51" s="3"/>
      <c r="F51" s="3"/>
      <c r="G51" s="3"/>
      <c r="H51" s="3"/>
      <c r="I51" s="3"/>
      <c r="J51" s="3"/>
      <c r="K51" s="3"/>
      <c r="L51" s="3"/>
      <c r="M51" s="3"/>
      <c r="N51" s="3"/>
      <c r="O51" s="3"/>
      <c r="P51" s="3"/>
      <c r="Q51" s="3"/>
      <c r="R51" s="3"/>
      <c r="S51" s="3"/>
      <c r="T51" s="3"/>
      <c r="U51" s="3"/>
      <c r="V51" s="3"/>
      <c r="W51" s="3"/>
      <c r="X51" s="3"/>
      <c r="Y51" s="3"/>
    </row>
    <row r="52" spans="1:25" ht="15.75" customHeight="1" x14ac:dyDescent="0.3">
      <c r="A52" s="3"/>
      <c r="B52" s="65"/>
      <c r="C52" s="3"/>
      <c r="D52" s="3"/>
      <c r="E52" s="3"/>
      <c r="F52" s="3"/>
      <c r="G52" s="3"/>
      <c r="H52" s="3"/>
      <c r="I52" s="3"/>
      <c r="J52" s="3"/>
      <c r="K52" s="3"/>
      <c r="L52" s="3"/>
      <c r="M52" s="3"/>
      <c r="N52" s="3"/>
      <c r="O52" s="3"/>
      <c r="P52" s="3"/>
      <c r="Q52" s="3"/>
      <c r="R52" s="3"/>
      <c r="S52" s="3"/>
      <c r="T52" s="3"/>
      <c r="U52" s="3"/>
      <c r="V52" s="3"/>
      <c r="W52" s="3"/>
      <c r="X52" s="3"/>
      <c r="Y52" s="3"/>
    </row>
    <row r="53" spans="1:25" ht="15.75" customHeight="1" x14ac:dyDescent="0.3">
      <c r="A53" s="3"/>
      <c r="B53" s="65"/>
      <c r="C53" s="3"/>
      <c r="D53" s="3"/>
      <c r="E53" s="3"/>
      <c r="F53" s="3"/>
      <c r="G53" s="3"/>
      <c r="H53" s="3"/>
      <c r="I53" s="3"/>
      <c r="J53" s="3"/>
      <c r="K53" s="3"/>
      <c r="L53" s="3"/>
      <c r="M53" s="3"/>
      <c r="N53" s="3"/>
      <c r="O53" s="3"/>
      <c r="P53" s="3"/>
      <c r="Q53" s="3"/>
      <c r="R53" s="3"/>
      <c r="S53" s="3"/>
      <c r="T53" s="3"/>
      <c r="U53" s="3"/>
      <c r="V53" s="3"/>
      <c r="W53" s="3"/>
      <c r="X53" s="3"/>
      <c r="Y53" s="3"/>
    </row>
    <row r="54" spans="1:25" ht="15.75" customHeight="1" x14ac:dyDescent="0.3">
      <c r="A54" s="3"/>
      <c r="B54" s="65"/>
      <c r="C54" s="3"/>
      <c r="D54" s="3"/>
      <c r="E54" s="3"/>
      <c r="F54" s="3"/>
      <c r="G54" s="3"/>
      <c r="H54" s="3"/>
      <c r="I54" s="3"/>
      <c r="J54" s="3"/>
      <c r="K54" s="3"/>
      <c r="L54" s="3"/>
      <c r="M54" s="3"/>
      <c r="N54" s="3"/>
      <c r="O54" s="3"/>
      <c r="P54" s="3"/>
      <c r="Q54" s="3"/>
      <c r="R54" s="3"/>
      <c r="S54" s="3"/>
      <c r="T54" s="3"/>
      <c r="U54" s="3"/>
      <c r="V54" s="3"/>
      <c r="W54" s="3"/>
      <c r="X54" s="3"/>
      <c r="Y54" s="3"/>
    </row>
    <row r="55" spans="1:25" ht="15.75" customHeight="1" x14ac:dyDescent="0.3">
      <c r="A55" s="3"/>
      <c r="B55" s="65"/>
      <c r="C55" s="3"/>
      <c r="D55" s="3"/>
      <c r="E55" s="3"/>
      <c r="F55" s="3"/>
      <c r="G55" s="3"/>
      <c r="H55" s="3"/>
      <c r="I55" s="3"/>
      <c r="J55" s="3"/>
      <c r="K55" s="3"/>
      <c r="L55" s="3"/>
      <c r="M55" s="3"/>
      <c r="N55" s="3"/>
      <c r="O55" s="3"/>
      <c r="P55" s="3"/>
      <c r="Q55" s="3"/>
      <c r="R55" s="3"/>
      <c r="S55" s="3"/>
      <c r="T55" s="3"/>
      <c r="U55" s="3"/>
      <c r="V55" s="3"/>
      <c r="W55" s="3"/>
      <c r="X55" s="3"/>
      <c r="Y55" s="3"/>
    </row>
    <row r="56" spans="1:25" ht="15.75" customHeight="1" x14ac:dyDescent="0.3">
      <c r="A56" s="3"/>
      <c r="B56" s="65"/>
      <c r="C56" s="3"/>
      <c r="D56" s="3"/>
      <c r="E56" s="3"/>
      <c r="F56" s="3"/>
      <c r="G56" s="3"/>
      <c r="H56" s="3"/>
      <c r="I56" s="3"/>
      <c r="J56" s="3"/>
      <c r="K56" s="3"/>
      <c r="L56" s="3"/>
      <c r="M56" s="3"/>
      <c r="N56" s="3"/>
      <c r="O56" s="3"/>
      <c r="P56" s="3"/>
      <c r="Q56" s="3"/>
      <c r="R56" s="3"/>
      <c r="S56" s="3"/>
      <c r="T56" s="3"/>
      <c r="U56" s="3"/>
      <c r="V56" s="3"/>
      <c r="W56" s="3"/>
      <c r="X56" s="3"/>
      <c r="Y56" s="3"/>
    </row>
    <row r="57" spans="1:25" ht="15.75" customHeight="1" x14ac:dyDescent="0.3">
      <c r="A57" s="3"/>
      <c r="B57" s="65"/>
      <c r="C57" s="3"/>
      <c r="D57" s="3"/>
      <c r="E57" s="3"/>
      <c r="F57" s="3"/>
      <c r="G57" s="3"/>
      <c r="H57" s="3"/>
      <c r="I57" s="3"/>
      <c r="J57" s="3"/>
      <c r="K57" s="3"/>
      <c r="L57" s="3"/>
      <c r="M57" s="3"/>
      <c r="N57" s="3"/>
      <c r="O57" s="3"/>
      <c r="P57" s="3"/>
      <c r="Q57" s="3"/>
      <c r="R57" s="3"/>
      <c r="S57" s="3"/>
      <c r="T57" s="3"/>
      <c r="U57" s="3"/>
      <c r="V57" s="3"/>
      <c r="W57" s="3"/>
      <c r="X57" s="3"/>
      <c r="Y57" s="3"/>
    </row>
    <row r="58" spans="1:25" ht="15.75" customHeight="1" x14ac:dyDescent="0.3">
      <c r="A58" s="3"/>
      <c r="B58" s="65"/>
      <c r="C58" s="3"/>
      <c r="D58" s="3"/>
      <c r="E58" s="3"/>
      <c r="F58" s="3"/>
      <c r="G58" s="3"/>
      <c r="H58" s="3"/>
      <c r="I58" s="3"/>
      <c r="J58" s="3"/>
      <c r="K58" s="3"/>
      <c r="L58" s="3"/>
      <c r="M58" s="3"/>
      <c r="N58" s="3"/>
      <c r="O58" s="3"/>
      <c r="P58" s="3"/>
      <c r="Q58" s="3"/>
      <c r="R58" s="3"/>
      <c r="S58" s="3"/>
      <c r="T58" s="3"/>
      <c r="U58" s="3"/>
      <c r="V58" s="3"/>
      <c r="W58" s="3"/>
      <c r="X58" s="3"/>
      <c r="Y58" s="3"/>
    </row>
    <row r="59" spans="1:25" ht="15.75" customHeight="1" x14ac:dyDescent="0.3">
      <c r="A59" s="3"/>
      <c r="B59" s="65"/>
      <c r="C59" s="3"/>
      <c r="D59" s="3"/>
      <c r="E59" s="3"/>
      <c r="F59" s="3"/>
      <c r="G59" s="3"/>
      <c r="H59" s="3"/>
      <c r="I59" s="3"/>
      <c r="J59" s="3"/>
      <c r="K59" s="3"/>
      <c r="L59" s="3"/>
      <c r="M59" s="3"/>
      <c r="N59" s="3"/>
      <c r="O59" s="3"/>
      <c r="P59" s="3"/>
      <c r="Q59" s="3"/>
      <c r="R59" s="3"/>
      <c r="S59" s="3"/>
      <c r="T59" s="3"/>
      <c r="U59" s="3"/>
      <c r="V59" s="3"/>
      <c r="W59" s="3"/>
      <c r="X59" s="3"/>
      <c r="Y59" s="3"/>
    </row>
    <row r="60" spans="1:25" ht="15.75" customHeight="1" x14ac:dyDescent="0.3">
      <c r="A60" s="3"/>
      <c r="B60" s="65"/>
      <c r="C60" s="3"/>
      <c r="D60" s="3"/>
      <c r="E60" s="3"/>
      <c r="F60" s="3"/>
      <c r="G60" s="3"/>
      <c r="H60" s="3"/>
      <c r="I60" s="3"/>
      <c r="J60" s="3"/>
      <c r="K60" s="3"/>
      <c r="L60" s="3"/>
      <c r="M60" s="3"/>
      <c r="N60" s="3"/>
      <c r="O60" s="3"/>
      <c r="P60" s="3"/>
      <c r="Q60" s="3"/>
      <c r="R60" s="3"/>
      <c r="S60" s="3"/>
      <c r="T60" s="3"/>
      <c r="U60" s="3"/>
      <c r="V60" s="3"/>
      <c r="W60" s="3"/>
      <c r="X60" s="3"/>
      <c r="Y60" s="3"/>
    </row>
    <row r="61" spans="1:25" ht="15.75" customHeight="1" x14ac:dyDescent="0.3">
      <c r="A61" s="3"/>
      <c r="B61" s="65"/>
      <c r="C61" s="3"/>
      <c r="D61" s="3"/>
      <c r="E61" s="3"/>
      <c r="F61" s="3"/>
      <c r="G61" s="3"/>
      <c r="H61" s="3"/>
      <c r="I61" s="3"/>
      <c r="J61" s="3"/>
      <c r="K61" s="3"/>
      <c r="L61" s="3"/>
      <c r="M61" s="3"/>
      <c r="N61" s="3"/>
      <c r="O61" s="3"/>
      <c r="P61" s="3"/>
      <c r="Q61" s="3"/>
      <c r="R61" s="3"/>
      <c r="S61" s="3"/>
      <c r="T61" s="3"/>
      <c r="U61" s="3"/>
      <c r="V61" s="3"/>
      <c r="W61" s="3"/>
      <c r="X61" s="3"/>
      <c r="Y61" s="3"/>
    </row>
    <row r="62" spans="1:25" ht="15.75" customHeight="1" x14ac:dyDescent="0.3">
      <c r="A62" s="3"/>
      <c r="B62" s="65"/>
      <c r="C62" s="3"/>
      <c r="D62" s="3"/>
      <c r="E62" s="3"/>
      <c r="F62" s="3"/>
      <c r="G62" s="3"/>
      <c r="H62" s="3"/>
      <c r="I62" s="3"/>
      <c r="J62" s="3"/>
      <c r="K62" s="3"/>
      <c r="L62" s="3"/>
      <c r="M62" s="3"/>
      <c r="N62" s="3"/>
      <c r="O62" s="3"/>
      <c r="P62" s="3"/>
      <c r="Q62" s="3"/>
      <c r="R62" s="3"/>
      <c r="S62" s="3"/>
      <c r="T62" s="3"/>
      <c r="U62" s="3"/>
      <c r="V62" s="3"/>
      <c r="W62" s="3"/>
      <c r="X62" s="3"/>
      <c r="Y62" s="3"/>
    </row>
    <row r="63" spans="1:25" ht="15.75" customHeight="1" x14ac:dyDescent="0.3">
      <c r="A63" s="3"/>
      <c r="B63" s="65"/>
      <c r="C63" s="3"/>
      <c r="D63" s="3"/>
      <c r="E63" s="3"/>
      <c r="F63" s="3"/>
      <c r="G63" s="3"/>
      <c r="H63" s="3"/>
      <c r="I63" s="3"/>
      <c r="J63" s="3"/>
      <c r="K63" s="3"/>
      <c r="L63" s="3"/>
      <c r="M63" s="3"/>
      <c r="N63" s="3"/>
      <c r="O63" s="3"/>
      <c r="P63" s="3"/>
      <c r="Q63" s="3"/>
      <c r="R63" s="3"/>
      <c r="S63" s="3"/>
      <c r="T63" s="3"/>
      <c r="U63" s="3"/>
      <c r="V63" s="3"/>
      <c r="W63" s="3"/>
      <c r="X63" s="3"/>
      <c r="Y63" s="3"/>
    </row>
    <row r="64" spans="1:25" ht="15.75" customHeight="1" x14ac:dyDescent="0.3">
      <c r="A64" s="3"/>
      <c r="B64" s="65"/>
      <c r="C64" s="3"/>
      <c r="D64" s="3"/>
      <c r="E64" s="3"/>
      <c r="F64" s="3"/>
      <c r="G64" s="3"/>
      <c r="H64" s="3"/>
      <c r="I64" s="3"/>
      <c r="J64" s="3"/>
      <c r="K64" s="3"/>
      <c r="L64" s="3"/>
      <c r="M64" s="3"/>
      <c r="N64" s="3"/>
      <c r="O64" s="3"/>
      <c r="P64" s="3"/>
      <c r="Q64" s="3"/>
      <c r="R64" s="3"/>
      <c r="S64" s="3"/>
      <c r="T64" s="3"/>
      <c r="U64" s="3"/>
      <c r="V64" s="3"/>
      <c r="W64" s="3"/>
      <c r="X64" s="3"/>
      <c r="Y64" s="3"/>
    </row>
    <row r="65" spans="1:25" ht="15.75" customHeight="1" x14ac:dyDescent="0.3">
      <c r="A65" s="3"/>
      <c r="B65" s="65"/>
      <c r="C65" s="3"/>
      <c r="D65" s="3"/>
      <c r="E65" s="3"/>
      <c r="F65" s="3"/>
      <c r="G65" s="3"/>
      <c r="H65" s="3"/>
      <c r="I65" s="3"/>
      <c r="J65" s="3"/>
      <c r="K65" s="3"/>
      <c r="L65" s="3"/>
      <c r="M65" s="3"/>
      <c r="N65" s="3"/>
      <c r="O65" s="3"/>
      <c r="P65" s="3"/>
      <c r="Q65" s="3"/>
      <c r="R65" s="3"/>
      <c r="S65" s="3"/>
      <c r="T65" s="3"/>
      <c r="U65" s="3"/>
      <c r="V65" s="3"/>
      <c r="W65" s="3"/>
      <c r="X65" s="3"/>
      <c r="Y65" s="3"/>
    </row>
    <row r="66" spans="1:25" ht="15.75" customHeight="1" x14ac:dyDescent="0.3">
      <c r="A66" s="3"/>
      <c r="B66" s="65"/>
      <c r="C66" s="3"/>
      <c r="D66" s="3"/>
      <c r="E66" s="3"/>
      <c r="F66" s="3"/>
      <c r="G66" s="3"/>
      <c r="H66" s="3"/>
      <c r="I66" s="3"/>
      <c r="J66" s="3"/>
      <c r="K66" s="3"/>
      <c r="L66" s="3"/>
      <c r="M66" s="3"/>
      <c r="N66" s="3"/>
      <c r="O66" s="3"/>
      <c r="P66" s="3"/>
      <c r="Q66" s="3"/>
      <c r="R66" s="3"/>
      <c r="S66" s="3"/>
      <c r="T66" s="3"/>
      <c r="U66" s="3"/>
      <c r="V66" s="3"/>
      <c r="W66" s="3"/>
      <c r="X66" s="3"/>
      <c r="Y66" s="3"/>
    </row>
    <row r="67" spans="1:25" ht="15.75" customHeight="1" x14ac:dyDescent="0.3">
      <c r="A67" s="3"/>
      <c r="B67" s="65"/>
      <c r="C67" s="3"/>
      <c r="D67" s="3"/>
      <c r="E67" s="3"/>
      <c r="F67" s="3"/>
      <c r="G67" s="3"/>
      <c r="H67" s="3"/>
      <c r="I67" s="3"/>
      <c r="J67" s="3"/>
      <c r="K67" s="3"/>
      <c r="L67" s="3"/>
      <c r="M67" s="3"/>
      <c r="N67" s="3"/>
      <c r="O67" s="3"/>
      <c r="P67" s="3"/>
      <c r="Q67" s="3"/>
      <c r="R67" s="3"/>
      <c r="S67" s="3"/>
      <c r="T67" s="3"/>
      <c r="U67" s="3"/>
      <c r="V67" s="3"/>
      <c r="W67" s="3"/>
      <c r="X67" s="3"/>
      <c r="Y67" s="3"/>
    </row>
    <row r="68" spans="1:25" ht="15.75" customHeight="1" x14ac:dyDescent="0.3">
      <c r="A68" s="3"/>
      <c r="B68" s="65"/>
      <c r="C68" s="3"/>
      <c r="D68" s="3"/>
      <c r="E68" s="3"/>
      <c r="F68" s="3"/>
      <c r="G68" s="3"/>
      <c r="H68" s="3"/>
      <c r="I68" s="3"/>
      <c r="J68" s="3"/>
      <c r="K68" s="3"/>
      <c r="L68" s="3"/>
      <c r="M68" s="3"/>
      <c r="N68" s="3"/>
      <c r="O68" s="3"/>
      <c r="P68" s="3"/>
      <c r="Q68" s="3"/>
      <c r="R68" s="3"/>
      <c r="S68" s="3"/>
      <c r="T68" s="3"/>
      <c r="U68" s="3"/>
      <c r="V68" s="3"/>
      <c r="W68" s="3"/>
      <c r="X68" s="3"/>
      <c r="Y68" s="3"/>
    </row>
    <row r="69" spans="1:25" ht="15.75" customHeight="1" x14ac:dyDescent="0.3">
      <c r="A69" s="3"/>
      <c r="B69" s="65"/>
      <c r="C69" s="3"/>
      <c r="D69" s="3"/>
      <c r="E69" s="3"/>
      <c r="F69" s="3"/>
      <c r="G69" s="3"/>
      <c r="H69" s="3"/>
      <c r="I69" s="3"/>
      <c r="J69" s="3"/>
      <c r="K69" s="3"/>
      <c r="L69" s="3"/>
      <c r="M69" s="3"/>
      <c r="N69" s="3"/>
      <c r="O69" s="3"/>
      <c r="P69" s="3"/>
      <c r="Q69" s="3"/>
      <c r="R69" s="3"/>
      <c r="S69" s="3"/>
      <c r="T69" s="3"/>
      <c r="U69" s="3"/>
      <c r="V69" s="3"/>
      <c r="W69" s="3"/>
      <c r="X69" s="3"/>
      <c r="Y69" s="3"/>
    </row>
    <row r="70" spans="1:25" ht="15.75" customHeight="1" x14ac:dyDescent="0.3">
      <c r="A70" s="3"/>
      <c r="B70" s="65"/>
      <c r="C70" s="3"/>
      <c r="D70" s="3"/>
      <c r="E70" s="3"/>
      <c r="F70" s="3"/>
      <c r="G70" s="3"/>
      <c r="H70" s="3"/>
      <c r="I70" s="3"/>
      <c r="J70" s="3"/>
      <c r="K70" s="3"/>
      <c r="L70" s="3"/>
      <c r="M70" s="3"/>
      <c r="N70" s="3"/>
      <c r="O70" s="3"/>
      <c r="P70" s="3"/>
      <c r="Q70" s="3"/>
      <c r="R70" s="3"/>
      <c r="S70" s="3"/>
      <c r="T70" s="3"/>
      <c r="U70" s="3"/>
      <c r="V70" s="3"/>
      <c r="W70" s="3"/>
      <c r="X70" s="3"/>
      <c r="Y70" s="3"/>
    </row>
    <row r="71" spans="1:25" ht="15.75" customHeight="1" x14ac:dyDescent="0.3">
      <c r="A71" s="3"/>
      <c r="B71" s="65"/>
      <c r="C71" s="3"/>
      <c r="D71" s="3"/>
      <c r="E71" s="3"/>
      <c r="F71" s="3"/>
      <c r="G71" s="3"/>
      <c r="H71" s="3"/>
      <c r="I71" s="3"/>
      <c r="J71" s="3"/>
      <c r="K71" s="3"/>
      <c r="L71" s="3"/>
      <c r="M71" s="3"/>
      <c r="N71" s="3"/>
      <c r="O71" s="3"/>
      <c r="P71" s="3"/>
      <c r="Q71" s="3"/>
      <c r="R71" s="3"/>
      <c r="S71" s="3"/>
      <c r="T71" s="3"/>
      <c r="U71" s="3"/>
      <c r="V71" s="3"/>
      <c r="W71" s="3"/>
      <c r="X71" s="3"/>
      <c r="Y71" s="3"/>
    </row>
    <row r="72" spans="1:25" ht="15.75" customHeight="1" x14ac:dyDescent="0.3">
      <c r="A72" s="3"/>
      <c r="B72" s="65"/>
      <c r="C72" s="3"/>
      <c r="D72" s="3"/>
      <c r="E72" s="3"/>
      <c r="F72" s="3"/>
      <c r="G72" s="3"/>
      <c r="H72" s="3"/>
      <c r="I72" s="3"/>
      <c r="J72" s="3"/>
      <c r="K72" s="3"/>
      <c r="L72" s="3"/>
      <c r="M72" s="3"/>
      <c r="N72" s="3"/>
      <c r="O72" s="3"/>
      <c r="P72" s="3"/>
      <c r="Q72" s="3"/>
      <c r="R72" s="3"/>
      <c r="S72" s="3"/>
      <c r="T72" s="3"/>
      <c r="U72" s="3"/>
      <c r="V72" s="3"/>
      <c r="W72" s="3"/>
      <c r="X72" s="3"/>
      <c r="Y72" s="3"/>
    </row>
    <row r="73" spans="1:25" ht="15.75" customHeight="1" x14ac:dyDescent="0.3">
      <c r="A73" s="3"/>
      <c r="B73" s="65"/>
      <c r="C73" s="3"/>
      <c r="D73" s="3"/>
      <c r="E73" s="3"/>
      <c r="F73" s="3"/>
      <c r="G73" s="3"/>
      <c r="H73" s="3"/>
      <c r="I73" s="3"/>
      <c r="J73" s="3"/>
      <c r="K73" s="3"/>
      <c r="L73" s="3"/>
      <c r="M73" s="3"/>
      <c r="N73" s="3"/>
      <c r="O73" s="3"/>
      <c r="P73" s="3"/>
      <c r="Q73" s="3"/>
      <c r="R73" s="3"/>
      <c r="S73" s="3"/>
      <c r="T73" s="3"/>
      <c r="U73" s="3"/>
      <c r="V73" s="3"/>
      <c r="W73" s="3"/>
      <c r="X73" s="3"/>
      <c r="Y73" s="3"/>
    </row>
    <row r="74" spans="1:25" ht="15.75" customHeight="1" x14ac:dyDescent="0.3">
      <c r="A74" s="3"/>
      <c r="B74" s="65"/>
      <c r="C74" s="3"/>
      <c r="D74" s="3"/>
      <c r="E74" s="3"/>
      <c r="F74" s="3"/>
      <c r="G74" s="3"/>
      <c r="H74" s="3"/>
      <c r="I74" s="3"/>
      <c r="J74" s="3"/>
      <c r="K74" s="3"/>
      <c r="L74" s="3"/>
      <c r="M74" s="3"/>
      <c r="N74" s="3"/>
      <c r="O74" s="3"/>
      <c r="P74" s="3"/>
      <c r="Q74" s="3"/>
      <c r="R74" s="3"/>
      <c r="S74" s="3"/>
      <c r="T74" s="3"/>
      <c r="U74" s="3"/>
      <c r="V74" s="3"/>
      <c r="W74" s="3"/>
      <c r="X74" s="3"/>
      <c r="Y74" s="3"/>
    </row>
    <row r="75" spans="1:25" ht="15.75" customHeight="1" x14ac:dyDescent="0.3">
      <c r="A75" s="3"/>
      <c r="B75" s="65"/>
      <c r="C75" s="3"/>
      <c r="D75" s="3"/>
      <c r="E75" s="3"/>
      <c r="F75" s="3"/>
      <c r="G75" s="3"/>
      <c r="H75" s="3"/>
      <c r="I75" s="3"/>
      <c r="J75" s="3"/>
      <c r="K75" s="3"/>
      <c r="L75" s="3"/>
      <c r="M75" s="3"/>
      <c r="N75" s="3"/>
      <c r="O75" s="3"/>
      <c r="P75" s="3"/>
      <c r="Q75" s="3"/>
      <c r="R75" s="3"/>
      <c r="S75" s="3"/>
      <c r="T75" s="3"/>
      <c r="U75" s="3"/>
      <c r="V75" s="3"/>
      <c r="W75" s="3"/>
      <c r="X75" s="3"/>
      <c r="Y75" s="3"/>
    </row>
    <row r="76" spans="1:25" ht="15.75" customHeight="1" x14ac:dyDescent="0.3">
      <c r="A76" s="3"/>
      <c r="B76" s="65"/>
      <c r="C76" s="3"/>
      <c r="D76" s="3"/>
      <c r="E76" s="3"/>
      <c r="F76" s="3"/>
      <c r="G76" s="3"/>
      <c r="H76" s="3"/>
      <c r="I76" s="3"/>
      <c r="J76" s="3"/>
      <c r="K76" s="3"/>
      <c r="L76" s="3"/>
      <c r="M76" s="3"/>
      <c r="N76" s="3"/>
      <c r="O76" s="3"/>
      <c r="P76" s="3"/>
      <c r="Q76" s="3"/>
      <c r="R76" s="3"/>
      <c r="S76" s="3"/>
      <c r="T76" s="3"/>
      <c r="U76" s="3"/>
      <c r="V76" s="3"/>
      <c r="W76" s="3"/>
      <c r="X76" s="3"/>
      <c r="Y76" s="3"/>
    </row>
    <row r="77" spans="1:25" ht="15.75" customHeight="1" x14ac:dyDescent="0.3">
      <c r="A77" s="3"/>
      <c r="B77" s="65"/>
      <c r="C77" s="3"/>
      <c r="D77" s="3"/>
      <c r="E77" s="3"/>
      <c r="F77" s="3"/>
      <c r="G77" s="3"/>
      <c r="H77" s="3"/>
      <c r="I77" s="3"/>
      <c r="J77" s="3"/>
      <c r="K77" s="3"/>
      <c r="L77" s="3"/>
      <c r="M77" s="3"/>
      <c r="N77" s="3"/>
      <c r="O77" s="3"/>
      <c r="P77" s="3"/>
      <c r="Q77" s="3"/>
      <c r="R77" s="3"/>
      <c r="S77" s="3"/>
      <c r="T77" s="3"/>
      <c r="U77" s="3"/>
      <c r="V77" s="3"/>
      <c r="W77" s="3"/>
      <c r="X77" s="3"/>
      <c r="Y77" s="3"/>
    </row>
    <row r="78" spans="1:25" ht="15.75" customHeight="1" x14ac:dyDescent="0.3">
      <c r="A78" s="3"/>
      <c r="B78" s="65"/>
      <c r="C78" s="3"/>
      <c r="D78" s="3"/>
      <c r="E78" s="3"/>
      <c r="F78" s="3"/>
      <c r="G78" s="3"/>
      <c r="H78" s="3"/>
      <c r="I78" s="3"/>
      <c r="J78" s="3"/>
      <c r="K78" s="3"/>
      <c r="L78" s="3"/>
      <c r="M78" s="3"/>
      <c r="N78" s="3"/>
      <c r="O78" s="3"/>
      <c r="P78" s="3"/>
      <c r="Q78" s="3"/>
      <c r="R78" s="3"/>
      <c r="S78" s="3"/>
      <c r="T78" s="3"/>
      <c r="U78" s="3"/>
      <c r="V78" s="3"/>
      <c r="W78" s="3"/>
      <c r="X78" s="3"/>
      <c r="Y78" s="3"/>
    </row>
    <row r="79" spans="1:25" ht="15.75" customHeight="1" x14ac:dyDescent="0.3">
      <c r="A79" s="3"/>
      <c r="B79" s="65"/>
      <c r="C79" s="3"/>
      <c r="D79" s="3"/>
      <c r="E79" s="3"/>
      <c r="F79" s="3"/>
      <c r="G79" s="3"/>
      <c r="H79" s="3"/>
      <c r="I79" s="3"/>
      <c r="J79" s="3"/>
      <c r="K79" s="3"/>
      <c r="L79" s="3"/>
      <c r="M79" s="3"/>
      <c r="N79" s="3"/>
      <c r="O79" s="3"/>
      <c r="P79" s="3"/>
      <c r="Q79" s="3"/>
      <c r="R79" s="3"/>
      <c r="S79" s="3"/>
      <c r="T79" s="3"/>
      <c r="U79" s="3"/>
      <c r="V79" s="3"/>
      <c r="W79" s="3"/>
      <c r="X79" s="3"/>
      <c r="Y79" s="3"/>
    </row>
    <row r="80" spans="1:25" ht="15.75" customHeight="1" x14ac:dyDescent="0.3">
      <c r="A80" s="3"/>
      <c r="B80" s="65"/>
      <c r="C80" s="3"/>
      <c r="D80" s="3"/>
      <c r="E80" s="3"/>
      <c r="F80" s="3"/>
      <c r="G80" s="3"/>
      <c r="H80" s="3"/>
      <c r="I80" s="3"/>
      <c r="J80" s="3"/>
      <c r="K80" s="3"/>
      <c r="L80" s="3"/>
      <c r="M80" s="3"/>
      <c r="N80" s="3"/>
      <c r="O80" s="3"/>
      <c r="P80" s="3"/>
      <c r="Q80" s="3"/>
      <c r="R80" s="3"/>
      <c r="S80" s="3"/>
      <c r="T80" s="3"/>
      <c r="U80" s="3"/>
      <c r="V80" s="3"/>
      <c r="W80" s="3"/>
      <c r="X80" s="3"/>
      <c r="Y80" s="3"/>
    </row>
    <row r="81" spans="1:25" ht="15.75" customHeight="1" x14ac:dyDescent="0.3">
      <c r="A81" s="3"/>
      <c r="B81" s="65"/>
      <c r="C81" s="3"/>
      <c r="D81" s="3"/>
      <c r="E81" s="3"/>
      <c r="F81" s="3"/>
      <c r="G81" s="3"/>
      <c r="H81" s="3"/>
      <c r="I81" s="3"/>
      <c r="J81" s="3"/>
      <c r="K81" s="3"/>
      <c r="L81" s="3"/>
      <c r="M81" s="3"/>
      <c r="N81" s="3"/>
      <c r="O81" s="3"/>
      <c r="P81" s="3"/>
      <c r="Q81" s="3"/>
      <c r="R81" s="3"/>
      <c r="S81" s="3"/>
      <c r="T81" s="3"/>
      <c r="U81" s="3"/>
      <c r="V81" s="3"/>
      <c r="W81" s="3"/>
      <c r="X81" s="3"/>
      <c r="Y81" s="3"/>
    </row>
    <row r="82" spans="1:25" ht="15.75" customHeight="1" x14ac:dyDescent="0.3">
      <c r="A82" s="3"/>
      <c r="B82" s="65"/>
      <c r="C82" s="3"/>
      <c r="D82" s="3"/>
      <c r="E82" s="3"/>
      <c r="F82" s="3"/>
      <c r="G82" s="3"/>
      <c r="H82" s="3"/>
      <c r="I82" s="3"/>
      <c r="J82" s="3"/>
      <c r="K82" s="3"/>
      <c r="L82" s="3"/>
      <c r="M82" s="3"/>
      <c r="N82" s="3"/>
      <c r="O82" s="3"/>
      <c r="P82" s="3"/>
      <c r="Q82" s="3"/>
      <c r="R82" s="3"/>
      <c r="S82" s="3"/>
      <c r="T82" s="3"/>
      <c r="U82" s="3"/>
      <c r="V82" s="3"/>
      <c r="W82" s="3"/>
      <c r="X82" s="3"/>
      <c r="Y82" s="3"/>
    </row>
    <row r="83" spans="1:25" ht="15.75" customHeight="1" x14ac:dyDescent="0.3">
      <c r="A83" s="3"/>
      <c r="B83" s="65"/>
      <c r="C83" s="3"/>
      <c r="D83" s="3"/>
      <c r="E83" s="3"/>
      <c r="F83" s="3"/>
      <c r="G83" s="3"/>
      <c r="H83" s="3"/>
      <c r="I83" s="3"/>
      <c r="J83" s="3"/>
      <c r="K83" s="3"/>
      <c r="L83" s="3"/>
      <c r="M83" s="3"/>
      <c r="N83" s="3"/>
      <c r="O83" s="3"/>
      <c r="P83" s="3"/>
      <c r="Q83" s="3"/>
      <c r="R83" s="3"/>
      <c r="S83" s="3"/>
      <c r="T83" s="3"/>
      <c r="U83" s="3"/>
      <c r="V83" s="3"/>
      <c r="W83" s="3"/>
      <c r="X83" s="3"/>
      <c r="Y83" s="3"/>
    </row>
    <row r="84" spans="1:25" ht="15.75" customHeight="1" x14ac:dyDescent="0.3">
      <c r="A84" s="3"/>
      <c r="B84" s="65"/>
      <c r="C84" s="3"/>
      <c r="D84" s="3"/>
      <c r="E84" s="3"/>
      <c r="F84" s="3"/>
      <c r="G84" s="3"/>
      <c r="H84" s="3"/>
      <c r="I84" s="3"/>
      <c r="J84" s="3"/>
      <c r="K84" s="3"/>
      <c r="L84" s="3"/>
      <c r="M84" s="3"/>
      <c r="N84" s="3"/>
      <c r="O84" s="3"/>
      <c r="P84" s="3"/>
      <c r="Q84" s="3"/>
      <c r="R84" s="3"/>
      <c r="S84" s="3"/>
      <c r="T84" s="3"/>
      <c r="U84" s="3"/>
      <c r="V84" s="3"/>
      <c r="W84" s="3"/>
      <c r="X84" s="3"/>
      <c r="Y84" s="3"/>
    </row>
    <row r="85" spans="1:25" ht="15.75" customHeight="1" x14ac:dyDescent="0.3">
      <c r="A85" s="3"/>
      <c r="B85" s="65"/>
      <c r="C85" s="3"/>
      <c r="D85" s="3"/>
      <c r="E85" s="3"/>
      <c r="F85" s="3"/>
      <c r="G85" s="3"/>
      <c r="H85" s="3"/>
      <c r="I85" s="3"/>
      <c r="J85" s="3"/>
      <c r="K85" s="3"/>
      <c r="L85" s="3"/>
      <c r="M85" s="3"/>
      <c r="N85" s="3"/>
      <c r="O85" s="3"/>
      <c r="P85" s="3"/>
      <c r="Q85" s="3"/>
      <c r="R85" s="3"/>
      <c r="S85" s="3"/>
      <c r="T85" s="3"/>
      <c r="U85" s="3"/>
      <c r="V85" s="3"/>
      <c r="W85" s="3"/>
      <c r="X85" s="3"/>
      <c r="Y85" s="3"/>
    </row>
    <row r="86" spans="1:25" ht="15.75" customHeight="1" x14ac:dyDescent="0.3">
      <c r="A86" s="3"/>
      <c r="B86" s="65"/>
      <c r="C86" s="3"/>
      <c r="D86" s="3"/>
      <c r="E86" s="3"/>
      <c r="F86" s="3"/>
      <c r="G86" s="3"/>
      <c r="H86" s="3"/>
      <c r="I86" s="3"/>
      <c r="J86" s="3"/>
      <c r="K86" s="3"/>
      <c r="L86" s="3"/>
      <c r="M86" s="3"/>
      <c r="N86" s="3"/>
      <c r="O86" s="3"/>
      <c r="P86" s="3"/>
      <c r="Q86" s="3"/>
      <c r="R86" s="3"/>
      <c r="S86" s="3"/>
      <c r="T86" s="3"/>
      <c r="U86" s="3"/>
      <c r="V86" s="3"/>
      <c r="W86" s="3"/>
      <c r="X86" s="3"/>
      <c r="Y86" s="3"/>
    </row>
    <row r="87" spans="1:25" ht="15.75" customHeight="1" x14ac:dyDescent="0.3">
      <c r="A87" s="3"/>
      <c r="B87" s="65"/>
      <c r="C87" s="3"/>
      <c r="D87" s="3"/>
      <c r="E87" s="3"/>
      <c r="F87" s="3"/>
      <c r="G87" s="3"/>
      <c r="H87" s="3"/>
      <c r="I87" s="3"/>
      <c r="J87" s="3"/>
      <c r="K87" s="3"/>
      <c r="L87" s="3"/>
      <c r="M87" s="3"/>
      <c r="N87" s="3"/>
      <c r="O87" s="3"/>
      <c r="P87" s="3"/>
      <c r="Q87" s="3"/>
      <c r="R87" s="3"/>
      <c r="S87" s="3"/>
      <c r="T87" s="3"/>
      <c r="U87" s="3"/>
      <c r="V87" s="3"/>
      <c r="W87" s="3"/>
      <c r="X87" s="3"/>
      <c r="Y87" s="3"/>
    </row>
    <row r="88" spans="1:25" ht="15.75" customHeight="1" x14ac:dyDescent="0.3">
      <c r="A88" s="3"/>
      <c r="B88" s="65"/>
      <c r="C88" s="3"/>
      <c r="D88" s="3"/>
      <c r="E88" s="3"/>
      <c r="F88" s="3"/>
      <c r="G88" s="3"/>
      <c r="H88" s="3"/>
      <c r="I88" s="3"/>
      <c r="J88" s="3"/>
      <c r="K88" s="3"/>
      <c r="L88" s="3"/>
      <c r="M88" s="3"/>
      <c r="N88" s="3"/>
      <c r="O88" s="3"/>
      <c r="P88" s="3"/>
      <c r="Q88" s="3"/>
      <c r="R88" s="3"/>
      <c r="S88" s="3"/>
      <c r="T88" s="3"/>
      <c r="U88" s="3"/>
      <c r="V88" s="3"/>
      <c r="W88" s="3"/>
      <c r="X88" s="3"/>
      <c r="Y88" s="3"/>
    </row>
    <row r="89" spans="1:25" ht="15.75" customHeight="1" x14ac:dyDescent="0.3">
      <c r="A89" s="3"/>
      <c r="B89" s="65"/>
      <c r="C89" s="3"/>
      <c r="D89" s="3"/>
      <c r="E89" s="3"/>
      <c r="F89" s="3"/>
      <c r="G89" s="3"/>
      <c r="H89" s="3"/>
      <c r="I89" s="3"/>
      <c r="J89" s="3"/>
      <c r="K89" s="3"/>
      <c r="L89" s="3"/>
      <c r="M89" s="3"/>
      <c r="N89" s="3"/>
      <c r="O89" s="3"/>
      <c r="P89" s="3"/>
      <c r="Q89" s="3"/>
      <c r="R89" s="3"/>
      <c r="S89" s="3"/>
      <c r="T89" s="3"/>
      <c r="U89" s="3"/>
      <c r="V89" s="3"/>
      <c r="W89" s="3"/>
      <c r="X89" s="3"/>
      <c r="Y89" s="3"/>
    </row>
    <row r="90" spans="1:25" ht="15.75" customHeight="1" x14ac:dyDescent="0.3">
      <c r="A90" s="3"/>
      <c r="B90" s="65"/>
      <c r="C90" s="3"/>
      <c r="D90" s="3"/>
      <c r="E90" s="3"/>
      <c r="F90" s="3"/>
      <c r="G90" s="3"/>
      <c r="H90" s="3"/>
      <c r="I90" s="3"/>
      <c r="J90" s="3"/>
      <c r="K90" s="3"/>
      <c r="L90" s="3"/>
      <c r="M90" s="3"/>
      <c r="N90" s="3"/>
      <c r="O90" s="3"/>
      <c r="P90" s="3"/>
      <c r="Q90" s="3"/>
      <c r="R90" s="3"/>
      <c r="S90" s="3"/>
      <c r="T90" s="3"/>
      <c r="U90" s="3"/>
      <c r="V90" s="3"/>
      <c r="W90" s="3"/>
      <c r="X90" s="3"/>
      <c r="Y90" s="3"/>
    </row>
    <row r="91" spans="1:25" ht="15.75" customHeight="1" x14ac:dyDescent="0.3">
      <c r="A91" s="3"/>
      <c r="B91" s="65"/>
      <c r="C91" s="3"/>
      <c r="D91" s="3"/>
      <c r="E91" s="3"/>
      <c r="F91" s="3"/>
      <c r="G91" s="3"/>
      <c r="H91" s="3"/>
      <c r="I91" s="3"/>
      <c r="J91" s="3"/>
      <c r="K91" s="3"/>
      <c r="L91" s="3"/>
      <c r="M91" s="3"/>
      <c r="N91" s="3"/>
      <c r="O91" s="3"/>
      <c r="P91" s="3"/>
      <c r="Q91" s="3"/>
      <c r="R91" s="3"/>
      <c r="S91" s="3"/>
      <c r="T91" s="3"/>
      <c r="U91" s="3"/>
      <c r="V91" s="3"/>
      <c r="W91" s="3"/>
      <c r="X91" s="3"/>
      <c r="Y91" s="3"/>
    </row>
    <row r="92" spans="1:25" ht="15.75" customHeight="1" x14ac:dyDescent="0.3">
      <c r="A92" s="3"/>
      <c r="B92" s="65"/>
      <c r="C92" s="3"/>
      <c r="D92" s="3"/>
      <c r="E92" s="3"/>
      <c r="F92" s="3"/>
      <c r="G92" s="3"/>
      <c r="H92" s="3"/>
      <c r="I92" s="3"/>
      <c r="J92" s="3"/>
      <c r="K92" s="3"/>
      <c r="L92" s="3"/>
      <c r="M92" s="3"/>
      <c r="N92" s="3"/>
      <c r="O92" s="3"/>
      <c r="P92" s="3"/>
      <c r="Q92" s="3"/>
      <c r="R92" s="3"/>
      <c r="S92" s="3"/>
      <c r="T92" s="3"/>
      <c r="U92" s="3"/>
      <c r="V92" s="3"/>
      <c r="W92" s="3"/>
      <c r="X92" s="3"/>
      <c r="Y92" s="3"/>
    </row>
    <row r="93" spans="1:25" ht="15.75" customHeight="1" x14ac:dyDescent="0.3">
      <c r="A93" s="3"/>
      <c r="B93" s="65"/>
      <c r="C93" s="3"/>
      <c r="D93" s="3"/>
      <c r="E93" s="3"/>
      <c r="F93" s="3"/>
      <c r="G93" s="3"/>
      <c r="H93" s="3"/>
      <c r="I93" s="3"/>
      <c r="J93" s="3"/>
      <c r="K93" s="3"/>
      <c r="L93" s="3"/>
      <c r="M93" s="3"/>
      <c r="N93" s="3"/>
      <c r="O93" s="3"/>
      <c r="P93" s="3"/>
      <c r="Q93" s="3"/>
      <c r="R93" s="3"/>
      <c r="S93" s="3"/>
      <c r="T93" s="3"/>
      <c r="U93" s="3"/>
      <c r="V93" s="3"/>
      <c r="W93" s="3"/>
      <c r="X93" s="3"/>
      <c r="Y93" s="3"/>
    </row>
    <row r="94" spans="1:25" ht="15.75" customHeight="1" x14ac:dyDescent="0.3">
      <c r="A94" s="3"/>
      <c r="B94" s="65"/>
      <c r="C94" s="3"/>
      <c r="D94" s="3"/>
      <c r="E94" s="3"/>
      <c r="F94" s="3"/>
      <c r="G94" s="3"/>
      <c r="H94" s="3"/>
      <c r="I94" s="3"/>
      <c r="J94" s="3"/>
      <c r="K94" s="3"/>
      <c r="L94" s="3"/>
      <c r="M94" s="3"/>
      <c r="N94" s="3"/>
      <c r="O94" s="3"/>
      <c r="P94" s="3"/>
      <c r="Q94" s="3"/>
      <c r="R94" s="3"/>
      <c r="S94" s="3"/>
      <c r="T94" s="3"/>
      <c r="U94" s="3"/>
      <c r="V94" s="3"/>
      <c r="W94" s="3"/>
      <c r="X94" s="3"/>
      <c r="Y94" s="3"/>
    </row>
    <row r="95" spans="1:25" ht="15.75" customHeight="1" x14ac:dyDescent="0.3">
      <c r="A95" s="3"/>
      <c r="B95" s="65"/>
      <c r="C95" s="3"/>
      <c r="D95" s="3"/>
      <c r="E95" s="3"/>
      <c r="F95" s="3"/>
      <c r="G95" s="3"/>
      <c r="H95" s="3"/>
      <c r="I95" s="3"/>
      <c r="J95" s="3"/>
      <c r="K95" s="3"/>
      <c r="L95" s="3"/>
      <c r="M95" s="3"/>
      <c r="N95" s="3"/>
      <c r="O95" s="3"/>
      <c r="P95" s="3"/>
      <c r="Q95" s="3"/>
      <c r="R95" s="3"/>
      <c r="S95" s="3"/>
      <c r="T95" s="3"/>
      <c r="U95" s="3"/>
      <c r="V95" s="3"/>
      <c r="W95" s="3"/>
      <c r="X95" s="3"/>
      <c r="Y95" s="3"/>
    </row>
    <row r="96" spans="1:25" ht="15.75" customHeight="1" x14ac:dyDescent="0.3">
      <c r="A96" s="3"/>
      <c r="B96" s="65"/>
      <c r="C96" s="3"/>
      <c r="D96" s="3"/>
      <c r="E96" s="3"/>
      <c r="F96" s="3"/>
      <c r="G96" s="3"/>
      <c r="H96" s="3"/>
      <c r="I96" s="3"/>
      <c r="J96" s="3"/>
      <c r="K96" s="3"/>
      <c r="L96" s="3"/>
      <c r="M96" s="3"/>
      <c r="N96" s="3"/>
      <c r="O96" s="3"/>
      <c r="P96" s="3"/>
      <c r="Q96" s="3"/>
      <c r="R96" s="3"/>
      <c r="S96" s="3"/>
      <c r="T96" s="3"/>
      <c r="U96" s="3"/>
      <c r="V96" s="3"/>
      <c r="W96" s="3"/>
      <c r="X96" s="3"/>
      <c r="Y96" s="3"/>
    </row>
    <row r="97" spans="1:25" ht="15.75" customHeight="1" x14ac:dyDescent="0.3">
      <c r="A97" s="3"/>
      <c r="B97" s="65"/>
      <c r="C97" s="3"/>
      <c r="D97" s="3"/>
      <c r="E97" s="3"/>
      <c r="F97" s="3"/>
      <c r="G97" s="3"/>
      <c r="H97" s="3"/>
      <c r="I97" s="3"/>
      <c r="J97" s="3"/>
      <c r="K97" s="3"/>
      <c r="L97" s="3"/>
      <c r="M97" s="3"/>
      <c r="N97" s="3"/>
      <c r="O97" s="3"/>
      <c r="P97" s="3"/>
      <c r="Q97" s="3"/>
      <c r="R97" s="3"/>
      <c r="S97" s="3"/>
      <c r="T97" s="3"/>
      <c r="U97" s="3"/>
      <c r="V97" s="3"/>
      <c r="W97" s="3"/>
      <c r="X97" s="3"/>
      <c r="Y97" s="3"/>
    </row>
    <row r="98" spans="1:25" ht="15.75" customHeight="1" x14ac:dyDescent="0.3">
      <c r="A98" s="3"/>
      <c r="B98" s="65"/>
      <c r="C98" s="3"/>
      <c r="D98" s="3"/>
      <c r="E98" s="3"/>
      <c r="F98" s="3"/>
      <c r="G98" s="3"/>
      <c r="H98" s="3"/>
      <c r="I98" s="3"/>
      <c r="J98" s="3"/>
      <c r="K98" s="3"/>
      <c r="L98" s="3"/>
      <c r="M98" s="3"/>
      <c r="N98" s="3"/>
      <c r="O98" s="3"/>
      <c r="P98" s="3"/>
      <c r="Q98" s="3"/>
      <c r="R98" s="3"/>
      <c r="S98" s="3"/>
      <c r="T98" s="3"/>
      <c r="U98" s="3"/>
      <c r="V98" s="3"/>
      <c r="W98" s="3"/>
      <c r="X98" s="3"/>
      <c r="Y98" s="3"/>
    </row>
    <row r="99" spans="1:25" ht="15.75" customHeight="1" x14ac:dyDescent="0.3">
      <c r="A99" s="3"/>
      <c r="B99" s="65"/>
      <c r="C99" s="3"/>
      <c r="D99" s="3"/>
      <c r="E99" s="3"/>
      <c r="F99" s="3"/>
      <c r="G99" s="3"/>
      <c r="H99" s="3"/>
      <c r="I99" s="3"/>
      <c r="J99" s="3"/>
      <c r="K99" s="3"/>
      <c r="L99" s="3"/>
      <c r="M99" s="3"/>
      <c r="N99" s="3"/>
      <c r="O99" s="3"/>
      <c r="P99" s="3"/>
      <c r="Q99" s="3"/>
      <c r="R99" s="3"/>
      <c r="S99" s="3"/>
      <c r="T99" s="3"/>
      <c r="U99" s="3"/>
      <c r="V99" s="3"/>
      <c r="W99" s="3"/>
      <c r="X99" s="3"/>
      <c r="Y99" s="3"/>
    </row>
    <row r="100" spans="1:25" ht="15.75" customHeight="1" x14ac:dyDescent="0.3">
      <c r="A100" s="3"/>
      <c r="B100" s="65"/>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x14ac:dyDescent="0.3">
      <c r="A101" s="3"/>
      <c r="B101" s="65"/>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x14ac:dyDescent="0.3">
      <c r="A102" s="3"/>
      <c r="B102" s="65"/>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x14ac:dyDescent="0.3">
      <c r="A103" s="3"/>
      <c r="B103" s="65"/>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x14ac:dyDescent="0.3">
      <c r="A104" s="3"/>
      <c r="B104" s="65"/>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x14ac:dyDescent="0.3">
      <c r="A105" s="3"/>
      <c r="B105" s="65"/>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x14ac:dyDescent="0.3">
      <c r="A106" s="3"/>
      <c r="B106" s="65"/>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x14ac:dyDescent="0.3">
      <c r="A107" s="3"/>
      <c r="B107" s="65"/>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x14ac:dyDescent="0.3">
      <c r="A108" s="3"/>
      <c r="B108" s="65"/>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x14ac:dyDescent="0.3">
      <c r="A109" s="3"/>
      <c r="B109" s="65"/>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x14ac:dyDescent="0.3">
      <c r="A110" s="3"/>
      <c r="B110" s="65"/>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x14ac:dyDescent="0.3">
      <c r="A111" s="3"/>
      <c r="B111" s="65"/>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x14ac:dyDescent="0.3">
      <c r="A112" s="3"/>
      <c r="B112" s="65"/>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x14ac:dyDescent="0.3">
      <c r="A113" s="3"/>
      <c r="B113" s="65"/>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x14ac:dyDescent="0.3">
      <c r="A114" s="3"/>
      <c r="B114" s="65"/>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x14ac:dyDescent="0.3">
      <c r="A115" s="3"/>
      <c r="B115" s="65"/>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x14ac:dyDescent="0.3">
      <c r="A116" s="3"/>
      <c r="B116" s="65"/>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x14ac:dyDescent="0.3">
      <c r="A117" s="3"/>
      <c r="B117" s="65"/>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x14ac:dyDescent="0.3">
      <c r="A118" s="3"/>
      <c r="B118" s="65"/>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x14ac:dyDescent="0.3">
      <c r="A119" s="3"/>
      <c r="B119" s="65"/>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x14ac:dyDescent="0.3">
      <c r="A120" s="3"/>
      <c r="B120" s="65"/>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x14ac:dyDescent="0.3">
      <c r="A121" s="3"/>
      <c r="B121" s="65"/>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x14ac:dyDescent="0.3">
      <c r="A122" s="3"/>
      <c r="B122" s="65"/>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x14ac:dyDescent="0.3">
      <c r="A123" s="3"/>
      <c r="B123" s="65"/>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x14ac:dyDescent="0.3">
      <c r="A124" s="3"/>
      <c r="B124" s="65"/>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x14ac:dyDescent="0.3">
      <c r="A125" s="3"/>
      <c r="B125" s="65"/>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x14ac:dyDescent="0.3">
      <c r="A126" s="3"/>
      <c r="B126" s="65"/>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x14ac:dyDescent="0.3">
      <c r="A127" s="3"/>
      <c r="B127" s="65"/>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x14ac:dyDescent="0.3">
      <c r="A128" s="3"/>
      <c r="B128" s="65"/>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x14ac:dyDescent="0.3">
      <c r="A129" s="3"/>
      <c r="B129" s="65"/>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x14ac:dyDescent="0.3">
      <c r="A130" s="3"/>
      <c r="B130" s="65"/>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x14ac:dyDescent="0.3">
      <c r="A131" s="3"/>
      <c r="B131" s="65"/>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x14ac:dyDescent="0.3">
      <c r="A132" s="3"/>
      <c r="B132" s="65"/>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x14ac:dyDescent="0.3">
      <c r="A133" s="3"/>
      <c r="B133" s="65"/>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x14ac:dyDescent="0.3">
      <c r="A134" s="3"/>
      <c r="B134" s="65"/>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x14ac:dyDescent="0.3">
      <c r="A135" s="3"/>
      <c r="B135" s="65"/>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x14ac:dyDescent="0.3">
      <c r="A136" s="3"/>
      <c r="B136" s="65"/>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x14ac:dyDescent="0.3">
      <c r="A137" s="3"/>
      <c r="B137" s="65"/>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x14ac:dyDescent="0.3">
      <c r="A138" s="3"/>
      <c r="B138" s="65"/>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x14ac:dyDescent="0.3">
      <c r="A139" s="3"/>
      <c r="B139" s="65"/>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x14ac:dyDescent="0.3">
      <c r="A140" s="3"/>
      <c r="B140" s="65"/>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x14ac:dyDescent="0.3">
      <c r="A141" s="3"/>
      <c r="B141" s="65"/>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x14ac:dyDescent="0.3">
      <c r="A142" s="3"/>
      <c r="B142" s="65"/>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x14ac:dyDescent="0.3">
      <c r="A143" s="3"/>
      <c r="B143" s="65"/>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x14ac:dyDescent="0.3">
      <c r="A144" s="3"/>
      <c r="B144" s="65"/>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x14ac:dyDescent="0.3">
      <c r="A145" s="3"/>
      <c r="B145" s="65"/>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x14ac:dyDescent="0.3">
      <c r="A146" s="3"/>
      <c r="B146" s="65"/>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x14ac:dyDescent="0.3">
      <c r="A147" s="3"/>
      <c r="B147" s="65"/>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x14ac:dyDescent="0.3">
      <c r="A148" s="3"/>
      <c r="B148" s="65"/>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x14ac:dyDescent="0.3">
      <c r="A149" s="3"/>
      <c r="B149" s="65"/>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x14ac:dyDescent="0.3">
      <c r="A150" s="3"/>
      <c r="B150" s="65"/>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x14ac:dyDescent="0.3">
      <c r="A151" s="3"/>
      <c r="B151" s="65"/>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x14ac:dyDescent="0.3">
      <c r="A152" s="3"/>
      <c r="B152" s="65"/>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x14ac:dyDescent="0.3">
      <c r="A153" s="3"/>
      <c r="B153" s="65"/>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x14ac:dyDescent="0.3">
      <c r="A154" s="3"/>
      <c r="B154" s="65"/>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x14ac:dyDescent="0.3">
      <c r="A155" s="3"/>
      <c r="B155" s="65"/>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x14ac:dyDescent="0.3">
      <c r="A156" s="3"/>
      <c r="B156" s="65"/>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x14ac:dyDescent="0.3">
      <c r="A157" s="3"/>
      <c r="B157" s="65"/>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x14ac:dyDescent="0.3">
      <c r="A158" s="3"/>
      <c r="B158" s="65"/>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x14ac:dyDescent="0.3">
      <c r="A159" s="3"/>
      <c r="B159" s="65"/>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x14ac:dyDescent="0.3">
      <c r="A160" s="3"/>
      <c r="B160" s="65"/>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x14ac:dyDescent="0.3">
      <c r="A161" s="3"/>
      <c r="B161" s="65"/>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x14ac:dyDescent="0.3">
      <c r="A162" s="3"/>
      <c r="B162" s="65"/>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x14ac:dyDescent="0.3">
      <c r="A163" s="3"/>
      <c r="B163" s="65"/>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x14ac:dyDescent="0.3">
      <c r="A164" s="3"/>
      <c r="B164" s="65"/>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x14ac:dyDescent="0.3">
      <c r="A165" s="3"/>
      <c r="B165" s="65"/>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x14ac:dyDescent="0.3">
      <c r="A166" s="3"/>
      <c r="B166" s="65"/>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x14ac:dyDescent="0.3">
      <c r="A167" s="3"/>
      <c r="B167" s="65"/>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x14ac:dyDescent="0.3">
      <c r="A168" s="3"/>
      <c r="B168" s="65"/>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x14ac:dyDescent="0.3">
      <c r="A169" s="3"/>
      <c r="B169" s="65"/>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x14ac:dyDescent="0.3">
      <c r="A170" s="3"/>
      <c r="B170" s="65"/>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x14ac:dyDescent="0.3">
      <c r="A171" s="3"/>
      <c r="B171" s="65"/>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x14ac:dyDescent="0.3">
      <c r="A172" s="3"/>
      <c r="B172" s="65"/>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x14ac:dyDescent="0.3">
      <c r="A173" s="3"/>
      <c r="B173" s="65"/>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x14ac:dyDescent="0.3">
      <c r="A174" s="3"/>
      <c r="B174" s="65"/>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x14ac:dyDescent="0.3">
      <c r="A175" s="3"/>
      <c r="B175" s="65"/>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x14ac:dyDescent="0.3">
      <c r="A176" s="3"/>
      <c r="B176" s="65"/>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x14ac:dyDescent="0.3">
      <c r="A177" s="3"/>
      <c r="B177" s="65"/>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x14ac:dyDescent="0.3">
      <c r="A178" s="3"/>
      <c r="B178" s="65"/>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x14ac:dyDescent="0.3">
      <c r="A179" s="3"/>
      <c r="B179" s="65"/>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x14ac:dyDescent="0.3">
      <c r="A180" s="3"/>
      <c r="B180" s="65"/>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x14ac:dyDescent="0.3">
      <c r="A181" s="3"/>
      <c r="B181" s="65"/>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x14ac:dyDescent="0.3">
      <c r="A182" s="3"/>
      <c r="B182" s="65"/>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x14ac:dyDescent="0.3">
      <c r="A183" s="3"/>
      <c r="B183" s="65"/>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x14ac:dyDescent="0.3">
      <c r="A184" s="3"/>
      <c r="B184" s="65"/>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x14ac:dyDescent="0.3">
      <c r="A185" s="3"/>
      <c r="B185" s="65"/>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x14ac:dyDescent="0.3">
      <c r="A186" s="3"/>
      <c r="B186" s="65"/>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x14ac:dyDescent="0.3">
      <c r="A187" s="3"/>
      <c r="B187" s="65"/>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x14ac:dyDescent="0.3">
      <c r="A188" s="3"/>
      <c r="B188" s="65"/>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x14ac:dyDescent="0.3">
      <c r="A189" s="3"/>
      <c r="B189" s="65"/>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x14ac:dyDescent="0.3">
      <c r="A190" s="3"/>
      <c r="B190" s="65"/>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x14ac:dyDescent="0.3">
      <c r="A191" s="3"/>
      <c r="B191" s="65"/>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x14ac:dyDescent="0.3">
      <c r="A192" s="3"/>
      <c r="B192" s="65"/>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x14ac:dyDescent="0.3">
      <c r="A193" s="3"/>
      <c r="B193" s="65"/>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x14ac:dyDescent="0.3">
      <c r="A194" s="3"/>
      <c r="B194" s="65"/>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x14ac:dyDescent="0.3">
      <c r="A195" s="3"/>
      <c r="B195" s="65"/>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x14ac:dyDescent="0.3">
      <c r="A196" s="3"/>
      <c r="B196" s="65"/>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x14ac:dyDescent="0.3">
      <c r="A197" s="3"/>
      <c r="B197" s="65"/>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x14ac:dyDescent="0.3">
      <c r="A198" s="3"/>
      <c r="B198" s="65"/>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x14ac:dyDescent="0.3">
      <c r="A199" s="3"/>
      <c r="B199" s="65"/>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x14ac:dyDescent="0.3">
      <c r="A200" s="3"/>
      <c r="B200" s="65"/>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x14ac:dyDescent="0.3">
      <c r="A201" s="3"/>
      <c r="B201" s="65"/>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x14ac:dyDescent="0.3">
      <c r="A202" s="3"/>
      <c r="B202" s="65"/>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x14ac:dyDescent="0.3">
      <c r="A203" s="3"/>
      <c r="B203" s="65"/>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x14ac:dyDescent="0.3">
      <c r="A204" s="3"/>
      <c r="B204" s="65"/>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x14ac:dyDescent="0.3">
      <c r="A205" s="3"/>
      <c r="B205" s="65"/>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x14ac:dyDescent="0.3">
      <c r="A206" s="3"/>
      <c r="B206" s="65"/>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x14ac:dyDescent="0.3">
      <c r="A207" s="3"/>
      <c r="B207" s="65"/>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x14ac:dyDescent="0.3">
      <c r="A208" s="3"/>
      <c r="B208" s="65"/>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x14ac:dyDescent="0.3">
      <c r="A209" s="3"/>
      <c r="B209" s="65"/>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x14ac:dyDescent="0.3">
      <c r="A210" s="3"/>
      <c r="B210" s="65"/>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x14ac:dyDescent="0.3">
      <c r="A211" s="3"/>
      <c r="B211" s="65"/>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x14ac:dyDescent="0.3">
      <c r="A212" s="3"/>
      <c r="B212" s="65"/>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x14ac:dyDescent="0.3">
      <c r="A213" s="3"/>
      <c r="B213" s="65"/>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x14ac:dyDescent="0.3">
      <c r="A214" s="3"/>
      <c r="B214" s="65"/>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x14ac:dyDescent="0.3">
      <c r="A215" s="3"/>
      <c r="B215" s="65"/>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x14ac:dyDescent="0.3">
      <c r="A216" s="3"/>
      <c r="B216" s="65"/>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x14ac:dyDescent="0.3">
      <c r="A217" s="3"/>
      <c r="B217" s="65"/>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x14ac:dyDescent="0.3">
      <c r="A218" s="3"/>
      <c r="B218" s="65"/>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x14ac:dyDescent="0.3">
      <c r="A219" s="3"/>
      <c r="B219" s="65"/>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x14ac:dyDescent="0.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x14ac:dyDescent="0.3"/>
    <row r="222" spans="1:25" ht="15.75" customHeight="1" x14ac:dyDescent="0.3"/>
    <row r="223" spans="1:25" ht="15.75" customHeight="1" x14ac:dyDescent="0.3"/>
    <row r="224" spans="1:25"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election activeCell="F6" sqref="F6"/>
    </sheetView>
  </sheetViews>
  <sheetFormatPr defaultColWidth="11.19921875" defaultRowHeight="15" customHeight="1" x14ac:dyDescent="0.3"/>
  <cols>
    <col min="1" max="1" width="11.3984375" customWidth="1"/>
    <col min="2" max="2" width="11.19921875" customWidth="1"/>
    <col min="3" max="3" width="15.796875" customWidth="1"/>
    <col min="4" max="6" width="11.19921875" customWidth="1"/>
  </cols>
  <sheetData>
    <row r="1" spans="1:26" ht="15.6" x14ac:dyDescent="0.3">
      <c r="A1" s="72" t="s">
        <v>167</v>
      </c>
      <c r="B1" s="72" t="s">
        <v>168</v>
      </c>
      <c r="C1" s="3"/>
      <c r="D1" s="3"/>
      <c r="E1" s="3"/>
      <c r="F1" s="3"/>
      <c r="G1" s="3"/>
      <c r="H1" s="3"/>
      <c r="I1" s="3"/>
      <c r="J1" s="3"/>
      <c r="K1" s="3"/>
      <c r="L1" s="3"/>
      <c r="M1" s="3"/>
      <c r="N1" s="3"/>
      <c r="O1" s="3"/>
      <c r="P1" s="3"/>
      <c r="Q1" s="3"/>
      <c r="R1" s="3"/>
      <c r="S1" s="3"/>
      <c r="T1" s="3"/>
      <c r="U1" s="3"/>
      <c r="V1" s="3"/>
      <c r="W1" s="3"/>
      <c r="X1" s="3"/>
      <c r="Y1" s="3"/>
      <c r="Z1" s="3"/>
    </row>
    <row r="2" spans="1:26" ht="15.6" x14ac:dyDescent="0.3">
      <c r="A2" s="73" t="s">
        <v>169</v>
      </c>
      <c r="B2" s="74">
        <f>(SUM(Supply!B2:B100) - SUMIF(Demand!A2:A100, "&lt;&gt;*CẢNG LẠCH HUYỆN*", Demand!B2:B100))*1000</f>
        <v>1935000</v>
      </c>
      <c r="C2" s="64"/>
      <c r="D2" s="3"/>
      <c r="E2" s="3"/>
      <c r="F2" s="3"/>
      <c r="G2" s="3"/>
      <c r="H2" s="3"/>
      <c r="I2" s="3"/>
      <c r="J2" s="3"/>
      <c r="K2" s="3"/>
      <c r="L2" s="3"/>
      <c r="M2" s="3"/>
      <c r="N2" s="3"/>
      <c r="O2" s="3"/>
      <c r="P2" s="3"/>
      <c r="Q2" s="3"/>
      <c r="R2" s="3"/>
      <c r="S2" s="3"/>
      <c r="T2" s="3"/>
      <c r="U2" s="3"/>
      <c r="V2" s="3"/>
      <c r="W2" s="3"/>
      <c r="X2" s="3"/>
      <c r="Y2" s="3"/>
      <c r="Z2" s="3"/>
    </row>
    <row r="3" spans="1:26" ht="15.6" x14ac:dyDescent="0.3">
      <c r="A3" s="73" t="s">
        <v>170</v>
      </c>
      <c r="B3" s="75">
        <v>5000000</v>
      </c>
      <c r="C3" s="3"/>
      <c r="D3" s="3"/>
      <c r="E3" s="3"/>
      <c r="F3" s="3"/>
      <c r="G3" s="3"/>
      <c r="H3" s="3"/>
      <c r="I3" s="3"/>
      <c r="J3" s="3"/>
      <c r="K3" s="3"/>
      <c r="L3" s="3"/>
      <c r="M3" s="3"/>
      <c r="N3" s="3"/>
      <c r="O3" s="3"/>
      <c r="P3" s="3"/>
      <c r="Q3" s="3"/>
      <c r="R3" s="3"/>
      <c r="S3" s="3"/>
      <c r="T3" s="3"/>
      <c r="U3" s="3"/>
      <c r="V3" s="3"/>
      <c r="W3" s="3"/>
      <c r="X3" s="3"/>
      <c r="Y3" s="3"/>
      <c r="Z3" s="3"/>
    </row>
    <row r="4" spans="1:26" ht="15.6" x14ac:dyDescent="0.3">
      <c r="A4" s="73" t="s">
        <v>171</v>
      </c>
      <c r="B4" s="75">
        <v>1000000000</v>
      </c>
      <c r="C4" s="3"/>
      <c r="D4" s="3"/>
      <c r="E4" s="3"/>
      <c r="F4" s="3"/>
      <c r="G4" s="3"/>
      <c r="H4" s="3"/>
      <c r="I4" s="3"/>
      <c r="J4" s="3"/>
      <c r="K4" s="3"/>
      <c r="L4" s="3"/>
      <c r="M4" s="3"/>
      <c r="N4" s="3"/>
      <c r="O4" s="3"/>
      <c r="P4" s="3"/>
      <c r="Q4" s="3"/>
      <c r="R4" s="3"/>
      <c r="S4" s="3"/>
      <c r="T4" s="3"/>
      <c r="U4" s="3"/>
      <c r="V4" s="3"/>
      <c r="W4" s="3"/>
      <c r="X4" s="3"/>
      <c r="Y4" s="3"/>
      <c r="Z4" s="3"/>
    </row>
    <row r="5" spans="1:26" ht="15.6" x14ac:dyDescent="0.3">
      <c r="A5" s="73" t="s">
        <v>172</v>
      </c>
      <c r="B5" s="75">
        <v>1000000000</v>
      </c>
      <c r="C5" s="3"/>
      <c r="D5" s="3"/>
      <c r="E5" s="3"/>
      <c r="F5" s="3"/>
      <c r="G5" s="3"/>
      <c r="H5" s="3"/>
      <c r="I5" s="3"/>
      <c r="J5" s="3"/>
      <c r="K5" s="3"/>
      <c r="L5" s="3"/>
      <c r="M5" s="3"/>
      <c r="N5" s="3"/>
      <c r="O5" s="3"/>
      <c r="P5" s="3"/>
      <c r="Q5" s="3"/>
      <c r="R5" s="3"/>
      <c r="S5" s="3"/>
      <c r="T5" s="3"/>
      <c r="U5" s="3"/>
      <c r="V5" s="3"/>
      <c r="W5" s="3"/>
      <c r="X5" s="3"/>
      <c r="Y5" s="3"/>
      <c r="Z5" s="3"/>
    </row>
    <row r="6" spans="1:26" ht="15.6" x14ac:dyDescent="0.3">
      <c r="A6" s="73" t="s">
        <v>173</v>
      </c>
      <c r="B6" s="75">
        <v>1000000000</v>
      </c>
      <c r="C6" s="3"/>
      <c r="D6" s="3"/>
      <c r="E6" s="3"/>
      <c r="F6" s="3"/>
      <c r="G6" s="3"/>
      <c r="H6" s="3"/>
      <c r="I6" s="3"/>
      <c r="J6" s="3"/>
      <c r="K6" s="3"/>
      <c r="L6" s="3"/>
      <c r="M6" s="3"/>
      <c r="N6" s="3"/>
      <c r="O6" s="3"/>
      <c r="P6" s="3"/>
      <c r="Q6" s="3"/>
      <c r="R6" s="3"/>
      <c r="S6" s="3"/>
      <c r="T6" s="3"/>
      <c r="U6" s="3"/>
      <c r="V6" s="3"/>
      <c r="W6" s="3"/>
      <c r="X6" s="3"/>
      <c r="Y6" s="3"/>
      <c r="Z6" s="3"/>
    </row>
    <row r="7" spans="1:26" ht="15.6" x14ac:dyDescent="0.3">
      <c r="A7" s="73" t="s">
        <v>174</v>
      </c>
      <c r="B7" s="76">
        <v>8</v>
      </c>
      <c r="C7" s="3"/>
      <c r="D7" s="3"/>
      <c r="E7" s="3"/>
      <c r="F7" s="3"/>
      <c r="G7" s="3"/>
      <c r="H7" s="3"/>
      <c r="I7" s="3"/>
      <c r="J7" s="3"/>
      <c r="K7" s="3"/>
      <c r="L7" s="3"/>
      <c r="M7" s="3"/>
      <c r="N7" s="3"/>
      <c r="O7" s="3"/>
      <c r="P7" s="3"/>
      <c r="Q7" s="3"/>
      <c r="R7" s="3"/>
      <c r="S7" s="3"/>
      <c r="T7" s="3"/>
      <c r="U7" s="3"/>
      <c r="V7" s="3"/>
      <c r="W7" s="3"/>
      <c r="X7" s="3"/>
      <c r="Y7" s="3"/>
      <c r="Z7" s="3"/>
    </row>
    <row r="8" spans="1:26" ht="15.6" x14ac:dyDescent="0.3">
      <c r="A8" s="73" t="s">
        <v>175</v>
      </c>
      <c r="B8" s="76">
        <v>10</v>
      </c>
      <c r="C8" s="3"/>
      <c r="D8" s="3"/>
      <c r="E8" s="3"/>
      <c r="F8" s="3"/>
      <c r="G8" s="3"/>
      <c r="H8" s="3"/>
      <c r="I8" s="3"/>
      <c r="J8" s="3"/>
      <c r="K8" s="3"/>
      <c r="L8" s="3"/>
      <c r="M8" s="3"/>
      <c r="N8" s="3"/>
      <c r="O8" s="3"/>
      <c r="P8" s="3"/>
      <c r="Q8" s="3"/>
      <c r="R8" s="3"/>
      <c r="S8" s="3"/>
      <c r="T8" s="3"/>
      <c r="U8" s="3"/>
      <c r="V8" s="3"/>
      <c r="W8" s="3"/>
      <c r="X8" s="3"/>
      <c r="Y8" s="3"/>
      <c r="Z8" s="3"/>
    </row>
    <row r="9" spans="1:26" ht="15.6" x14ac:dyDescent="0.3">
      <c r="A9" s="73" t="s">
        <v>176</v>
      </c>
      <c r="B9" s="76">
        <v>6</v>
      </c>
      <c r="C9" s="3"/>
      <c r="D9" s="3"/>
      <c r="E9" s="3"/>
      <c r="F9" s="3"/>
      <c r="G9" s="3"/>
      <c r="H9" s="3"/>
      <c r="I9" s="3"/>
      <c r="J9" s="3"/>
      <c r="K9" s="3"/>
      <c r="L9" s="3"/>
      <c r="M9" s="3"/>
      <c r="N9" s="3"/>
      <c r="O9" s="3"/>
      <c r="P9" s="3"/>
      <c r="Q9" s="3"/>
      <c r="R9" s="3"/>
      <c r="S9" s="3"/>
      <c r="T9" s="3"/>
      <c r="U9" s="3"/>
      <c r="V9" s="3"/>
      <c r="W9" s="3"/>
      <c r="X9" s="3"/>
      <c r="Y9" s="3"/>
      <c r="Z9" s="3"/>
    </row>
    <row r="10" spans="1:26" ht="15.6" x14ac:dyDescent="0.3">
      <c r="A10" s="73" t="s">
        <v>177</v>
      </c>
      <c r="B10" s="73" t="s">
        <v>178</v>
      </c>
      <c r="C10" s="3"/>
      <c r="D10" s="3"/>
      <c r="E10" s="3"/>
      <c r="F10" s="3"/>
      <c r="G10" s="3"/>
      <c r="H10" s="3"/>
      <c r="I10" s="3"/>
      <c r="J10" s="3"/>
      <c r="K10" s="3"/>
      <c r="L10" s="3"/>
      <c r="M10" s="3"/>
      <c r="N10" s="3"/>
      <c r="O10" s="3"/>
      <c r="P10" s="3"/>
      <c r="Q10" s="3"/>
      <c r="R10" s="3"/>
      <c r="S10" s="3"/>
      <c r="T10" s="3"/>
      <c r="U10" s="3"/>
      <c r="V10" s="3"/>
      <c r="W10" s="3"/>
      <c r="X10" s="3"/>
      <c r="Y10" s="3"/>
      <c r="Z10" s="3"/>
    </row>
    <row r="11" spans="1:26" ht="15.6" x14ac:dyDescent="0.3">
      <c r="A11" s="73" t="s">
        <v>179</v>
      </c>
      <c r="B11" s="73" t="s">
        <v>178</v>
      </c>
      <c r="C11" s="3"/>
      <c r="D11" s="3"/>
      <c r="E11" s="3"/>
      <c r="F11" s="3"/>
      <c r="G11" s="3"/>
      <c r="H11" s="3"/>
      <c r="I11" s="3"/>
      <c r="J11" s="3"/>
      <c r="K11" s="3"/>
      <c r="L11" s="3"/>
      <c r="M11" s="3"/>
      <c r="N11" s="3"/>
      <c r="O11" s="3"/>
      <c r="P11" s="3"/>
      <c r="Q11" s="3"/>
      <c r="R11" s="3"/>
      <c r="S11" s="3"/>
      <c r="T11" s="3"/>
      <c r="U11" s="3"/>
      <c r="V11" s="3"/>
      <c r="W11" s="3"/>
      <c r="X11" s="3"/>
      <c r="Y11" s="3"/>
      <c r="Z11" s="3"/>
    </row>
    <row r="12" spans="1:26" ht="15.6" x14ac:dyDescent="0.3">
      <c r="A12" s="73" t="s">
        <v>180</v>
      </c>
      <c r="B12" s="73" t="s">
        <v>178</v>
      </c>
      <c r="C12" s="3"/>
      <c r="D12" s="3"/>
      <c r="E12" s="3"/>
      <c r="F12" s="3"/>
      <c r="G12" s="3"/>
      <c r="H12" s="3"/>
      <c r="I12" s="3"/>
      <c r="J12" s="3"/>
      <c r="K12" s="3"/>
      <c r="L12" s="3"/>
      <c r="M12" s="3"/>
      <c r="N12" s="3"/>
      <c r="O12" s="3"/>
      <c r="P12" s="3"/>
      <c r="Q12" s="3"/>
      <c r="R12" s="3"/>
      <c r="S12" s="3"/>
      <c r="T12" s="3"/>
      <c r="U12" s="3"/>
      <c r="V12" s="3"/>
      <c r="W12" s="3"/>
      <c r="X12" s="3"/>
      <c r="Y12" s="3"/>
      <c r="Z12" s="3"/>
    </row>
    <row r="13" spans="1:26" ht="15.6" x14ac:dyDescent="0.3">
      <c r="A13" s="73" t="s">
        <v>181</v>
      </c>
      <c r="B13" s="73" t="s">
        <v>178</v>
      </c>
      <c r="C13" s="3"/>
      <c r="D13" s="3"/>
      <c r="E13" s="3"/>
      <c r="F13" s="3"/>
      <c r="G13" s="3"/>
      <c r="H13" s="3"/>
      <c r="I13" s="3"/>
      <c r="J13" s="3"/>
      <c r="K13" s="3"/>
      <c r="L13" s="3"/>
      <c r="M13" s="3"/>
      <c r="N13" s="3"/>
      <c r="O13" s="3"/>
      <c r="P13" s="3"/>
      <c r="Q13" s="3"/>
      <c r="R13" s="3"/>
      <c r="S13" s="3"/>
      <c r="T13" s="3"/>
      <c r="U13" s="3"/>
      <c r="V13" s="3"/>
      <c r="W13" s="3"/>
      <c r="X13" s="3"/>
      <c r="Y13" s="3"/>
      <c r="Z13" s="3"/>
    </row>
    <row r="14" spans="1:26" ht="15.6" x14ac:dyDescent="0.3">
      <c r="A14" s="73" t="s">
        <v>182</v>
      </c>
      <c r="B14" s="76">
        <v>0.12</v>
      </c>
      <c r="C14" s="3"/>
      <c r="D14" s="3"/>
      <c r="E14" s="3"/>
      <c r="F14" s="3"/>
      <c r="G14" s="3"/>
      <c r="H14" s="3"/>
      <c r="I14" s="3"/>
      <c r="J14" s="3"/>
      <c r="K14" s="3"/>
      <c r="L14" s="3"/>
      <c r="M14" s="3"/>
      <c r="N14" s="3"/>
      <c r="O14" s="3"/>
      <c r="P14" s="3"/>
      <c r="Q14" s="3"/>
      <c r="R14" s="3"/>
      <c r="S14" s="3"/>
      <c r="T14" s="3"/>
      <c r="U14" s="3"/>
      <c r="V14" s="3"/>
      <c r="W14" s="3"/>
      <c r="X14" s="3"/>
      <c r="Y14" s="3"/>
      <c r="Z14" s="3"/>
    </row>
    <row r="15" spans="1:26" ht="15.6" x14ac:dyDescent="0.3">
      <c r="A15" s="73" t="s">
        <v>183</v>
      </c>
      <c r="B15" s="76">
        <v>0.05</v>
      </c>
      <c r="C15" s="3"/>
      <c r="D15" s="3"/>
      <c r="E15" s="3"/>
      <c r="F15" s="3"/>
      <c r="G15" s="3"/>
      <c r="H15" s="3"/>
      <c r="I15" s="3"/>
      <c r="J15" s="3"/>
      <c r="K15" s="3"/>
      <c r="L15" s="3"/>
      <c r="M15" s="3"/>
      <c r="N15" s="3"/>
      <c r="O15" s="3"/>
      <c r="P15" s="3"/>
      <c r="Q15" s="3"/>
      <c r="R15" s="3"/>
      <c r="S15" s="3"/>
      <c r="T15" s="3"/>
      <c r="U15" s="3"/>
      <c r="V15" s="3"/>
      <c r="W15" s="3"/>
      <c r="X15" s="3"/>
      <c r="Y15" s="3"/>
      <c r="Z15" s="3"/>
    </row>
    <row r="16" spans="1:26" ht="15.6" x14ac:dyDescent="0.3">
      <c r="A16" s="73" t="s">
        <v>184</v>
      </c>
      <c r="B16" s="76">
        <v>0.03</v>
      </c>
      <c r="C16" s="3"/>
      <c r="D16" s="3"/>
      <c r="E16" s="3"/>
      <c r="F16" s="3"/>
      <c r="G16" s="3"/>
      <c r="H16" s="3"/>
      <c r="I16" s="3"/>
      <c r="J16" s="3"/>
      <c r="K16" s="3"/>
      <c r="L16" s="3"/>
      <c r="M16" s="3"/>
      <c r="N16" s="3"/>
      <c r="O16" s="3"/>
      <c r="P16" s="3"/>
      <c r="Q16" s="3"/>
      <c r="R16" s="3"/>
      <c r="S16" s="3"/>
      <c r="T16" s="3"/>
      <c r="U16" s="3"/>
      <c r="V16" s="3"/>
      <c r="W16" s="3"/>
      <c r="X16" s="3"/>
      <c r="Y16" s="3"/>
      <c r="Z16" s="3"/>
    </row>
    <row r="17" spans="1:26" ht="15.6" x14ac:dyDescent="0.3">
      <c r="A17" s="73" t="s">
        <v>185</v>
      </c>
      <c r="B17" s="76">
        <v>0.02</v>
      </c>
      <c r="C17" s="3"/>
      <c r="D17" s="3"/>
      <c r="E17" s="3"/>
      <c r="F17" s="3"/>
      <c r="G17" s="3"/>
      <c r="H17" s="3"/>
      <c r="I17" s="3"/>
      <c r="J17" s="3"/>
      <c r="K17" s="3"/>
      <c r="L17" s="3"/>
      <c r="M17" s="3"/>
      <c r="N17" s="3"/>
      <c r="O17" s="3"/>
      <c r="P17" s="3"/>
      <c r="Q17" s="3"/>
      <c r="R17" s="3"/>
      <c r="S17" s="3"/>
      <c r="T17" s="3"/>
      <c r="U17" s="3"/>
      <c r="V17" s="3"/>
      <c r="W17" s="3"/>
      <c r="X17" s="3"/>
      <c r="Y17" s="3"/>
      <c r="Z17" s="3"/>
    </row>
    <row r="18" spans="1:26" ht="15.6" x14ac:dyDescent="0.3">
      <c r="A18" s="73" t="s">
        <v>186</v>
      </c>
      <c r="B18" s="73"/>
      <c r="C18" s="3"/>
      <c r="D18" s="3"/>
      <c r="E18" s="3"/>
      <c r="F18" s="3"/>
      <c r="G18" s="3"/>
      <c r="H18" s="3"/>
      <c r="I18" s="3"/>
      <c r="J18" s="3"/>
      <c r="K18" s="3"/>
      <c r="L18" s="3"/>
      <c r="M18" s="3"/>
      <c r="N18" s="3"/>
      <c r="O18" s="3"/>
      <c r="P18" s="3"/>
      <c r="Q18" s="3"/>
      <c r="R18" s="3"/>
      <c r="S18" s="3"/>
      <c r="T18" s="3"/>
      <c r="U18" s="3"/>
      <c r="V18" s="3"/>
      <c r="W18" s="3"/>
      <c r="X18" s="3"/>
      <c r="Y18" s="3"/>
      <c r="Z18" s="3"/>
    </row>
    <row r="19" spans="1:26" ht="15.6" x14ac:dyDescent="0.3">
      <c r="A19" s="73" t="s">
        <v>187</v>
      </c>
      <c r="B19" s="76">
        <v>1</v>
      </c>
      <c r="C19" s="3"/>
      <c r="D19" s="3"/>
      <c r="E19" s="3"/>
      <c r="F19" s="3"/>
      <c r="G19" s="3"/>
      <c r="H19" s="3"/>
      <c r="I19" s="3"/>
      <c r="J19" s="3"/>
      <c r="K19" s="3"/>
      <c r="L19" s="3"/>
      <c r="M19" s="3"/>
      <c r="N19" s="3"/>
      <c r="O19" s="3"/>
      <c r="P19" s="3"/>
      <c r="Q19" s="3"/>
      <c r="R19" s="3"/>
      <c r="S19" s="3"/>
      <c r="T19" s="3"/>
      <c r="U19" s="3"/>
      <c r="V19" s="3"/>
      <c r="W19" s="3"/>
      <c r="X19" s="3"/>
      <c r="Y19" s="3"/>
      <c r="Z19" s="3"/>
    </row>
    <row r="20" spans="1:26" ht="15.6" x14ac:dyDescent="0.3">
      <c r="A20" s="3" t="s">
        <v>198</v>
      </c>
      <c r="B20" s="3">
        <v>10</v>
      </c>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1000"/>
  <sheetViews>
    <sheetView workbookViewId="0"/>
  </sheetViews>
  <sheetFormatPr defaultColWidth="11.19921875" defaultRowHeight="15" customHeight="1" x14ac:dyDescent="0.3"/>
  <cols>
    <col min="1" max="6" width="11.19921875" customWidth="1"/>
  </cols>
  <sheetData>
    <row r="1" spans="1:1" ht="15.6" x14ac:dyDescent="0.3">
      <c r="A1" s="77" t="s">
        <v>188</v>
      </c>
    </row>
    <row r="3" spans="1:1" ht="15.6" x14ac:dyDescent="0.3">
      <c r="A3" s="77" t="s">
        <v>189</v>
      </c>
    </row>
    <row r="4" spans="1:1" ht="15.6" x14ac:dyDescent="0.3">
      <c r="A4" s="77" t="s">
        <v>190</v>
      </c>
    </row>
    <row r="5" spans="1:1" ht="15.6" x14ac:dyDescent="0.3">
      <c r="A5" s="77" t="s">
        <v>191</v>
      </c>
    </row>
    <row r="6" spans="1:1" ht="15.6" x14ac:dyDescent="0.3">
      <c r="A6" s="77" t="s">
        <v>192</v>
      </c>
    </row>
    <row r="7" spans="1:1" ht="15.6" x14ac:dyDescent="0.3">
      <c r="A7" s="77" t="s">
        <v>193</v>
      </c>
    </row>
    <row r="8" spans="1:1" ht="15.6" x14ac:dyDescent="0.3">
      <c r="A8" s="77" t="s">
        <v>194</v>
      </c>
    </row>
    <row r="9" spans="1:1" ht="15.6" x14ac:dyDescent="0.3">
      <c r="A9" s="77" t="s">
        <v>195</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 Home</vt:lpstr>
      <vt:lpstr>Nodes</vt:lpstr>
      <vt:lpstr>Cost</vt:lpstr>
      <vt:lpstr>Arcs</vt:lpstr>
      <vt:lpstr>Supply</vt:lpstr>
      <vt:lpstr>Demand</vt:lpstr>
      <vt:lpstr>Params</vt:lpstr>
      <vt:lpstr>Cách giả định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Đạt Tiến</dc:creator>
  <cp:lastModifiedBy>Tô Tiến Đạt - 68LGT3</cp:lastModifiedBy>
  <dcterms:created xsi:type="dcterms:W3CDTF">2026-05-26T07:26:57Z</dcterms:created>
  <dcterms:modified xsi:type="dcterms:W3CDTF">2026-05-28T15:22:01Z</dcterms:modified>
</cp:coreProperties>
</file>